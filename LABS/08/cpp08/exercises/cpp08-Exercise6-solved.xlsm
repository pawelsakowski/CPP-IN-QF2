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5600" windowHeight="7530"/>
  </bookViews>
  <sheets>
    <sheet name="AV vs. no AV" sheetId="8" r:id="rId1"/>
    <sheet name="Convergence" sheetId="11" r:id="rId2"/>
    <sheet name="European" sheetId="7" r:id="rId3"/>
    <sheet name="plots BS" sheetId="9" r:id="rId4"/>
    <sheet name="plots MC" sheetId="10" r:id="rId5"/>
  </sheets>
  <calcPr calcId="125725"/>
</workbook>
</file>

<file path=xl/calcChain.xml><?xml version="1.0" encoding="utf-8"?>
<calcChain xmlns="http://schemas.openxmlformats.org/spreadsheetml/2006/main">
  <c r="Q30" i="10"/>
  <c r="P30"/>
  <c r="O30"/>
  <c r="N30"/>
  <c r="M30"/>
  <c r="L30"/>
  <c r="K30"/>
  <c r="J30"/>
  <c r="I30"/>
  <c r="H30"/>
  <c r="G30"/>
  <c r="Q29"/>
  <c r="P29"/>
  <c r="O29"/>
  <c r="N29"/>
  <c r="M29"/>
  <c r="L29"/>
  <c r="K29"/>
  <c r="J29"/>
  <c r="I29"/>
  <c r="H29"/>
  <c r="G29"/>
  <c r="Q28"/>
  <c r="P28"/>
  <c r="O28"/>
  <c r="N28"/>
  <c r="M28"/>
  <c r="L28"/>
  <c r="K28"/>
  <c r="J28"/>
  <c r="I28"/>
  <c r="H28"/>
  <c r="G28"/>
  <c r="Q27"/>
  <c r="P27"/>
  <c r="O27"/>
  <c r="N27"/>
  <c r="M27"/>
  <c r="L27"/>
  <c r="K27"/>
  <c r="J27"/>
  <c r="I27"/>
  <c r="H27"/>
  <c r="G27"/>
  <c r="Q26"/>
  <c r="P26"/>
  <c r="O26"/>
  <c r="N26"/>
  <c r="M26"/>
  <c r="L26"/>
  <c r="K26"/>
  <c r="J26"/>
  <c r="I26"/>
  <c r="H26"/>
  <c r="G26"/>
  <c r="Q25"/>
  <c r="P25"/>
  <c r="O25"/>
  <c r="N25"/>
  <c r="M25"/>
  <c r="L25"/>
  <c r="K25"/>
  <c r="J25"/>
  <c r="I25"/>
  <c r="H25"/>
  <c r="G25"/>
  <c r="Q24"/>
  <c r="P24"/>
  <c r="O24"/>
  <c r="N24"/>
  <c r="M24"/>
  <c r="L24"/>
  <c r="K24"/>
  <c r="J24"/>
  <c r="I24"/>
  <c r="H24"/>
  <c r="G24"/>
  <c r="Q23"/>
  <c r="P23"/>
  <c r="O23"/>
  <c r="N23"/>
  <c r="M23"/>
  <c r="L23"/>
  <c r="K23"/>
  <c r="J23"/>
  <c r="I23"/>
  <c r="H23"/>
  <c r="G23"/>
  <c r="Q22"/>
  <c r="P22"/>
  <c r="O22"/>
  <c r="N22"/>
  <c r="M22"/>
  <c r="L22"/>
  <c r="K22"/>
  <c r="J22"/>
  <c r="I22"/>
  <c r="H22"/>
  <c r="G22"/>
  <c r="Q21"/>
  <c r="P21"/>
  <c r="O21"/>
  <c r="N21"/>
  <c r="M21"/>
  <c r="L21"/>
  <c r="K21"/>
  <c r="J21"/>
  <c r="I21"/>
  <c r="H21"/>
  <c r="G21"/>
  <c r="Q20"/>
  <c r="P20"/>
  <c r="O20"/>
  <c r="N20"/>
  <c r="M20"/>
  <c r="L20"/>
  <c r="K20"/>
  <c r="J20"/>
  <c r="I20"/>
  <c r="H20"/>
  <c r="G20"/>
  <c r="G6"/>
  <c r="H6"/>
  <c r="I6"/>
  <c r="J6"/>
  <c r="K6"/>
  <c r="L6"/>
  <c r="M6"/>
  <c r="N6"/>
  <c r="O6"/>
  <c r="P6"/>
  <c r="Q6"/>
  <c r="G7"/>
  <c r="H7"/>
  <c r="I7"/>
  <c r="J7"/>
  <c r="K7"/>
  <c r="L7"/>
  <c r="M7"/>
  <c r="N7"/>
  <c r="O7"/>
  <c r="P7"/>
  <c r="Q7"/>
  <c r="G8"/>
  <c r="H8"/>
  <c r="I8"/>
  <c r="J8"/>
  <c r="K8"/>
  <c r="L8"/>
  <c r="M8"/>
  <c r="N8"/>
  <c r="O8"/>
  <c r="P8"/>
  <c r="Q8"/>
  <c r="G9"/>
  <c r="H9"/>
  <c r="I9"/>
  <c r="J9"/>
  <c r="K9"/>
  <c r="L9"/>
  <c r="M9"/>
  <c r="N9"/>
  <c r="O9"/>
  <c r="P9"/>
  <c r="Q9"/>
  <c r="G10"/>
  <c r="H10"/>
  <c r="I10"/>
  <c r="J10"/>
  <c r="K10"/>
  <c r="L10"/>
  <c r="M10"/>
  <c r="N10"/>
  <c r="O10"/>
  <c r="P10"/>
  <c r="Q10"/>
  <c r="G11"/>
  <c r="H11"/>
  <c r="I11"/>
  <c r="J11"/>
  <c r="K11"/>
  <c r="L11"/>
  <c r="M11"/>
  <c r="N11"/>
  <c r="O11"/>
  <c r="P11"/>
  <c r="Q11"/>
  <c r="G12"/>
  <c r="H12"/>
  <c r="I12"/>
  <c r="J12"/>
  <c r="K12"/>
  <c r="L12"/>
  <c r="M12"/>
  <c r="N12"/>
  <c r="O12"/>
  <c r="P12"/>
  <c r="Q12"/>
  <c r="G13"/>
  <c r="H13"/>
  <c r="I13"/>
  <c r="J13"/>
  <c r="K13"/>
  <c r="L13"/>
  <c r="M13"/>
  <c r="N13"/>
  <c r="O13"/>
  <c r="P13"/>
  <c r="Q13"/>
  <c r="G14"/>
  <c r="H14"/>
  <c r="I14"/>
  <c r="J14"/>
  <c r="K14"/>
  <c r="L14"/>
  <c r="M14"/>
  <c r="N14"/>
  <c r="O14"/>
  <c r="P14"/>
  <c r="Q14"/>
  <c r="G15"/>
  <c r="H15"/>
  <c r="I15"/>
  <c r="J15"/>
  <c r="K15"/>
  <c r="L15"/>
  <c r="M15"/>
  <c r="N15"/>
  <c r="O15"/>
  <c r="P15"/>
  <c r="Q15"/>
  <c r="H5"/>
  <c r="I5"/>
  <c r="J5"/>
  <c r="K5"/>
  <c r="L5"/>
  <c r="M5"/>
  <c r="N5"/>
  <c r="O5"/>
  <c r="P5"/>
  <c r="Q5"/>
  <c r="G5"/>
  <c r="F22" i="7"/>
  <c r="F18"/>
  <c r="F13"/>
  <c r="F11"/>
  <c r="F9"/>
  <c r="F7"/>
  <c r="F6"/>
  <c r="F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1"/>
  <c r="F20"/>
  <c r="F19"/>
  <c r="F17"/>
  <c r="F16"/>
  <c r="F15"/>
  <c r="F14"/>
  <c r="F12"/>
  <c r="F10"/>
  <c r="F8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F56"/>
  <c r="F55"/>
  <c r="E56"/>
  <c r="E55"/>
  <c r="E5"/>
  <c r="Q30" i="9"/>
  <c r="P30"/>
  <c r="O30"/>
  <c r="N30"/>
  <c r="M30"/>
  <c r="L30"/>
  <c r="K30"/>
  <c r="J30"/>
  <c r="I30"/>
  <c r="H30"/>
  <c r="G30"/>
  <c r="Q29"/>
  <c r="P29"/>
  <c r="O29"/>
  <c r="N29"/>
  <c r="M29"/>
  <c r="L29"/>
  <c r="K29"/>
  <c r="J29"/>
  <c r="I29"/>
  <c r="H29"/>
  <c r="G29"/>
  <c r="Q28"/>
  <c r="P28"/>
  <c r="O28"/>
  <c r="N28"/>
  <c r="M28"/>
  <c r="L28"/>
  <c r="K28"/>
  <c r="J28"/>
  <c r="I28"/>
  <c r="H28"/>
  <c r="G28"/>
  <c r="Q27"/>
  <c r="P27"/>
  <c r="O27"/>
  <c r="N27"/>
  <c r="M27"/>
  <c r="L27"/>
  <c r="K27"/>
  <c r="J27"/>
  <c r="I27"/>
  <c r="H27"/>
  <c r="G27"/>
  <c r="Q26"/>
  <c r="P26"/>
  <c r="O26"/>
  <c r="N26"/>
  <c r="M26"/>
  <c r="L26"/>
  <c r="K26"/>
  <c r="J26"/>
  <c r="I26"/>
  <c r="H26"/>
  <c r="G26"/>
  <c r="Q25"/>
  <c r="P25"/>
  <c r="O25"/>
  <c r="N25"/>
  <c r="M25"/>
  <c r="L25"/>
  <c r="K25"/>
  <c r="J25"/>
  <c r="I25"/>
  <c r="H25"/>
  <c r="G25"/>
  <c r="Q24"/>
  <c r="P24"/>
  <c r="O24"/>
  <c r="N24"/>
  <c r="M24"/>
  <c r="L24"/>
  <c r="K24"/>
  <c r="J24"/>
  <c r="I24"/>
  <c r="H24"/>
  <c r="G24"/>
  <c r="Q23"/>
  <c r="P23"/>
  <c r="O23"/>
  <c r="N23"/>
  <c r="M23"/>
  <c r="L23"/>
  <c r="K23"/>
  <c r="J23"/>
  <c r="I23"/>
  <c r="H23"/>
  <c r="G23"/>
  <c r="Q22"/>
  <c r="P22"/>
  <c r="O22"/>
  <c r="N22"/>
  <c r="M22"/>
  <c r="L22"/>
  <c r="K22"/>
  <c r="J22"/>
  <c r="I22"/>
  <c r="H22"/>
  <c r="G22"/>
  <c r="Q21"/>
  <c r="P21"/>
  <c r="O21"/>
  <c r="N21"/>
  <c r="M21"/>
  <c r="L21"/>
  <c r="K21"/>
  <c r="J21"/>
  <c r="I21"/>
  <c r="H21"/>
  <c r="G21"/>
  <c r="Q20"/>
  <c r="P20"/>
  <c r="O20"/>
  <c r="N20"/>
  <c r="M20"/>
  <c r="L20"/>
  <c r="K20"/>
  <c r="J20"/>
  <c r="I20"/>
  <c r="H20"/>
  <c r="G20"/>
  <c r="Q15"/>
  <c r="P15"/>
  <c r="O15"/>
  <c r="N15"/>
  <c r="M15"/>
  <c r="L15"/>
  <c r="K15"/>
  <c r="J15"/>
  <c r="I15"/>
  <c r="H15"/>
  <c r="G15"/>
  <c r="Q14"/>
  <c r="P14"/>
  <c r="O14"/>
  <c r="N14"/>
  <c r="M14"/>
  <c r="L14"/>
  <c r="K14"/>
  <c r="J14"/>
  <c r="I14"/>
  <c r="H14"/>
  <c r="G14"/>
  <c r="Q13"/>
  <c r="P13"/>
  <c r="O13"/>
  <c r="N13"/>
  <c r="M13"/>
  <c r="L13"/>
  <c r="K13"/>
  <c r="J13"/>
  <c r="I13"/>
  <c r="H13"/>
  <c r="G13"/>
  <c r="Q12"/>
  <c r="P12"/>
  <c r="O12"/>
  <c r="N12"/>
  <c r="M12"/>
  <c r="L12"/>
  <c r="K12"/>
  <c r="J12"/>
  <c r="I12"/>
  <c r="H12"/>
  <c r="G12"/>
  <c r="Q11"/>
  <c r="P11"/>
  <c r="O11"/>
  <c r="N11"/>
  <c r="M11"/>
  <c r="L11"/>
  <c r="K11"/>
  <c r="J11"/>
  <c r="I11"/>
  <c r="H11"/>
  <c r="G11"/>
  <c r="Q10"/>
  <c r="P10"/>
  <c r="O10"/>
  <c r="N10"/>
  <c r="M10"/>
  <c r="L10"/>
  <c r="K10"/>
  <c r="J10"/>
  <c r="I10"/>
  <c r="H10"/>
  <c r="G10"/>
  <c r="Q9"/>
  <c r="P9"/>
  <c r="O9"/>
  <c r="N9"/>
  <c r="M9"/>
  <c r="L9"/>
  <c r="K9"/>
  <c r="J9"/>
  <c r="I9"/>
  <c r="H9"/>
  <c r="G9"/>
  <c r="Q8"/>
  <c r="P8"/>
  <c r="O8"/>
  <c r="N8"/>
  <c r="M8"/>
  <c r="L8"/>
  <c r="K8"/>
  <c r="J8"/>
  <c r="I8"/>
  <c r="H8"/>
  <c r="G8"/>
  <c r="Q7"/>
  <c r="P7"/>
  <c r="O7"/>
  <c r="N7"/>
  <c r="M7"/>
  <c r="L7"/>
  <c r="K7"/>
  <c r="J7"/>
  <c r="I7"/>
  <c r="H7"/>
  <c r="G7"/>
  <c r="Q6"/>
  <c r="P6"/>
  <c r="O6"/>
  <c r="N6"/>
  <c r="M6"/>
  <c r="L6"/>
  <c r="K6"/>
  <c r="J6"/>
  <c r="I6"/>
  <c r="H6"/>
  <c r="G6"/>
  <c r="Q5"/>
  <c r="P5"/>
  <c r="O5"/>
  <c r="N5"/>
  <c r="M5"/>
  <c r="L5"/>
  <c r="K5"/>
  <c r="J5"/>
  <c r="I5"/>
  <c r="H5"/>
  <c r="G5"/>
  <c r="F16" i="11"/>
  <c r="F15"/>
  <c r="F14"/>
  <c r="F13"/>
  <c r="F12"/>
  <c r="F11"/>
  <c r="F10"/>
  <c r="F9"/>
  <c r="F7"/>
  <c r="F6"/>
  <c r="F5"/>
  <c r="F4"/>
  <c r="F3"/>
  <c r="F2"/>
  <c r="F8"/>
  <c r="F17"/>
  <c r="D21" i="8"/>
  <c r="D6"/>
  <c r="D7"/>
  <c r="D8"/>
  <c r="D9"/>
  <c r="D10"/>
  <c r="D11"/>
  <c r="D12"/>
  <c r="D13"/>
  <c r="D14"/>
  <c r="D15"/>
  <c r="D16"/>
  <c r="D17"/>
  <c r="D18"/>
  <c r="D19"/>
  <c r="D20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5"/>
  <c r="E2" i="11"/>
  <c r="E6"/>
  <c r="E3"/>
  <c r="E17"/>
  <c r="E16"/>
  <c r="E10"/>
  <c r="E4"/>
  <c r="E14"/>
  <c r="E11"/>
  <c r="E8"/>
  <c r="E15"/>
  <c r="E13"/>
  <c r="E12"/>
  <c r="E5"/>
  <c r="E9"/>
  <c r="E7"/>
  <c r="C106" i="8" l="1"/>
  <c r="C105"/>
  <c r="B13" i="9"/>
  <c r="B12"/>
  <c r="G56" i="7"/>
  <c r="D106" i="8"/>
  <c r="D105"/>
</calcChain>
</file>

<file path=xl/sharedStrings.xml><?xml version="1.0" encoding="utf-8"?>
<sst xmlns="http://schemas.openxmlformats.org/spreadsheetml/2006/main" count="51" uniqueCount="36">
  <si>
    <t>Dividend yield (q)</t>
  </si>
  <si>
    <t>Time maturity (T, years)</t>
  </si>
  <si>
    <t>Volatility (s)</t>
  </si>
  <si>
    <t>Strike (X)</t>
  </si>
  <si>
    <t>Spot (S)</t>
  </si>
  <si>
    <t>Risk-free rate (r)</t>
  </si>
  <si>
    <t>Standard deviation of option prices with and witout antithetic variates</t>
  </si>
  <si>
    <t>MC European Call C++ without AV</t>
  </si>
  <si>
    <t>MC European Call C++ with AV</t>
  </si>
  <si>
    <t>mean</t>
  </si>
  <si>
    <t>std dev.</t>
  </si>
  <si>
    <t>stdev</t>
  </si>
  <si>
    <t>max=</t>
  </si>
  <si>
    <t>min=</t>
  </si>
  <si>
    <t>Interest rate</t>
  </si>
  <si>
    <t>Exercise price</t>
  </si>
  <si>
    <t>Share price</t>
  </si>
  <si>
    <t>Dividend yield</t>
  </si>
  <si>
    <t>Time maturity</t>
  </si>
  <si>
    <t>Volatility</t>
  </si>
  <si>
    <t>number of simulations for VBA function</t>
  </si>
  <si>
    <t>number of simulations for C++ function</t>
  </si>
  <si>
    <t>strike</t>
  </si>
  <si>
    <t>spot</t>
  </si>
  <si>
    <t>time to maturity</t>
  </si>
  <si>
    <t>European MC value C++</t>
  </si>
  <si>
    <t>number of paths</t>
  </si>
  <si>
    <t>BS price</t>
  </si>
  <si>
    <t>risk-free rate</t>
  </si>
  <si>
    <t>dividend</t>
  </si>
  <si>
    <t>volatility</t>
  </si>
  <si>
    <t>MC price</t>
  </si>
  <si>
    <t>Euroepan MC value VBA</t>
  </si>
  <si>
    <t>Using Monte Carlo Simulation for European Call Option Pricing</t>
  </si>
  <si>
    <t>Using Black-Scholes Formula to Value European Call Options</t>
  </si>
  <si>
    <t>Using Monte Carlo Simulation to Value European Call Options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</si>
</sst>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General_)"/>
    <numFmt numFmtId="166" formatCode="0.000"/>
  </numFmts>
  <fonts count="8">
    <font>
      <sz val="11"/>
      <color theme="1"/>
      <name val="Czcionka tekstu podstawowego"/>
      <family val="2"/>
      <charset val="238"/>
    </font>
    <font>
      <sz val="10"/>
      <name val="Times New Roman"/>
      <family val="1"/>
      <charset val="238"/>
    </font>
    <font>
      <sz val="10"/>
      <name val="Times New Roman"/>
      <family val="1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Czcionka tekstu podstawowego"/>
      <charset val="238"/>
    </font>
    <font>
      <sz val="10"/>
      <color theme="1"/>
      <name val="Czcionka tekstu podstawowego"/>
      <charset val="238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2" fillId="0" borderId="0"/>
  </cellStyleXfs>
  <cellXfs count="34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applyFont="1"/>
    <xf numFmtId="0" fontId="4" fillId="0" borderId="0" xfId="0" quotePrefix="1" applyFont="1" applyAlignment="1">
      <alignment horizontal="left"/>
    </xf>
    <xf numFmtId="2" fontId="3" fillId="0" borderId="0" xfId="0" applyNumberFormat="1" applyFont="1"/>
    <xf numFmtId="0" fontId="4" fillId="0" borderId="0" xfId="0" applyFont="1" applyAlignment="1">
      <alignment horizontal="right"/>
    </xf>
    <xf numFmtId="10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0" fontId="5" fillId="0" borderId="0" xfId="0" applyFont="1"/>
    <xf numFmtId="0" fontId="3" fillId="2" borderId="2" xfId="0" quotePrefix="1" applyFont="1" applyFill="1" applyBorder="1" applyAlignment="1">
      <alignment horizontal="left"/>
    </xf>
    <xf numFmtId="0" fontId="4" fillId="2" borderId="3" xfId="0" applyFont="1" applyFill="1" applyBorder="1"/>
    <xf numFmtId="0" fontId="4" fillId="2" borderId="4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5" fillId="2" borderId="1" xfId="0" applyFont="1" applyFill="1" applyBorder="1"/>
    <xf numFmtId="2" fontId="5" fillId="2" borderId="1" xfId="0" applyNumberFormat="1" applyFont="1" applyFill="1" applyBorder="1"/>
    <xf numFmtId="2" fontId="3" fillId="4" borderId="1" xfId="0" applyNumberFormat="1" applyFont="1" applyFill="1" applyBorder="1"/>
    <xf numFmtId="2" fontId="3" fillId="5" borderId="1" xfId="0" quotePrefix="1" applyNumberFormat="1" applyFont="1" applyFill="1" applyBorder="1" applyAlignment="1">
      <alignment horizontal="left"/>
    </xf>
    <xf numFmtId="0" fontId="4" fillId="3" borderId="1" xfId="0" applyFont="1" applyFill="1" applyBorder="1"/>
    <xf numFmtId="0" fontId="4" fillId="0" borderId="0" xfId="0" applyFont="1" applyAlignment="1">
      <alignment horizontal="left"/>
    </xf>
    <xf numFmtId="0" fontId="3" fillId="0" borderId="0" xfId="0" applyNumberFormat="1" applyFont="1"/>
    <xf numFmtId="0" fontId="3" fillId="2" borderId="4" xfId="0" quotePrefix="1" applyFont="1" applyFill="1" applyBorder="1" applyAlignment="1">
      <alignment horizontal="left"/>
    </xf>
    <xf numFmtId="0" fontId="3" fillId="5" borderId="1" xfId="0" applyNumberFormat="1" applyFont="1" applyFill="1" applyBorder="1" applyAlignment="1">
      <alignment horizontal="left" wrapText="1"/>
    </xf>
    <xf numFmtId="0" fontId="6" fillId="0" borderId="0" xfId="0" applyFont="1" applyAlignment="1">
      <alignment horizontal="right"/>
    </xf>
    <xf numFmtId="2" fontId="7" fillId="6" borderId="1" xfId="0" applyNumberFormat="1" applyFont="1" applyFill="1" applyBorder="1"/>
    <xf numFmtId="0" fontId="7" fillId="6" borderId="1" xfId="0" applyFont="1" applyFill="1" applyBorder="1"/>
    <xf numFmtId="0" fontId="4" fillId="7" borderId="0" xfId="0" applyFont="1" applyFill="1"/>
    <xf numFmtId="166" fontId="4" fillId="0" borderId="0" xfId="0" applyNumberFormat="1" applyFont="1"/>
    <xf numFmtId="0" fontId="0" fillId="4" borderId="0" xfId="0" applyFill="1"/>
    <xf numFmtId="0" fontId="0" fillId="4" borderId="0" xfId="0" applyFill="1" applyAlignment="1">
      <alignment horizontal="centerContinuous"/>
    </xf>
    <xf numFmtId="0" fontId="0" fillId="3" borderId="1" xfId="0" applyFill="1" applyBorder="1"/>
    <xf numFmtId="0" fontId="0" fillId="0" borderId="1" xfId="0" applyBorder="1"/>
    <xf numFmtId="0" fontId="0" fillId="8" borderId="1" xfId="0" applyFill="1" applyBorder="1"/>
  </cellXfs>
  <cellStyles count="3">
    <cellStyle name="Normal_Call" xfId="2"/>
    <cellStyle name="Normalny" xfId="0" builtinId="0"/>
    <cellStyle name="Normalny 2" xfId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plotArea>
      <c:layout/>
      <c:scatterChart>
        <c:scatterStyle val="lineMarker"/>
        <c:ser>
          <c:idx val="0"/>
          <c:order val="0"/>
          <c:tx>
            <c:strRef>
              <c:f>Convergence!$E$1</c:f>
              <c:strCache>
                <c:ptCount val="1"/>
                <c:pt idx="0">
                  <c:v>BS price</c:v>
                </c:pt>
              </c:strCache>
            </c:strRef>
          </c:tx>
          <c:xVal>
            <c:numRef>
              <c:f>Convergence!$D$2:$D$17</c:f>
              <c:numCache>
                <c:formatCode>General</c:formatCode>
                <c:ptCount val="16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1200</c:v>
                </c:pt>
                <c:pt idx="11">
                  <c:v>1400</c:v>
                </c:pt>
                <c:pt idx="12">
                  <c:v>1600</c:v>
                </c:pt>
                <c:pt idx="13">
                  <c:v>2000</c:v>
                </c:pt>
                <c:pt idx="14">
                  <c:v>5000</c:v>
                </c:pt>
                <c:pt idx="15">
                  <c:v>10000</c:v>
                </c:pt>
              </c:numCache>
            </c:numRef>
          </c:xVal>
          <c:yVal>
            <c:numRef>
              <c:f>Convergence!$E$2:$E$17</c:f>
              <c:numCache>
                <c:formatCode>General</c:formatCode>
                <c:ptCount val="16"/>
                <c:pt idx="0">
                  <c:v>4.4518249920284632</c:v>
                </c:pt>
                <c:pt idx="1">
                  <c:v>4.4518249920284632</c:v>
                </c:pt>
                <c:pt idx="2">
                  <c:v>4.4518249920284632</c:v>
                </c:pt>
                <c:pt idx="3">
                  <c:v>4.4518249920284632</c:v>
                </c:pt>
                <c:pt idx="4">
                  <c:v>4.4518249920284632</c:v>
                </c:pt>
                <c:pt idx="5">
                  <c:v>4.4518249920284632</c:v>
                </c:pt>
                <c:pt idx="6">
                  <c:v>4.4518249920284632</c:v>
                </c:pt>
                <c:pt idx="7">
                  <c:v>4.4518249920284632</c:v>
                </c:pt>
                <c:pt idx="8">
                  <c:v>4.4518249920284632</c:v>
                </c:pt>
                <c:pt idx="9">
                  <c:v>4.4518249920284632</c:v>
                </c:pt>
                <c:pt idx="10">
                  <c:v>4.4518249920284632</c:v>
                </c:pt>
                <c:pt idx="11">
                  <c:v>4.4518249920284632</c:v>
                </c:pt>
                <c:pt idx="12">
                  <c:v>4.4518249920284632</c:v>
                </c:pt>
                <c:pt idx="13">
                  <c:v>4.4518249920284632</c:v>
                </c:pt>
                <c:pt idx="14">
                  <c:v>4.4518249920284632</c:v>
                </c:pt>
                <c:pt idx="15">
                  <c:v>4.4518249920284632</c:v>
                </c:pt>
              </c:numCache>
            </c:numRef>
          </c:yVal>
        </c:ser>
        <c:ser>
          <c:idx val="1"/>
          <c:order val="1"/>
          <c:tx>
            <c:strRef>
              <c:f>Convergence!$F$1</c:f>
              <c:strCache>
                <c:ptCount val="1"/>
                <c:pt idx="0">
                  <c:v>MC price</c:v>
                </c:pt>
              </c:strCache>
            </c:strRef>
          </c:tx>
          <c:xVal>
            <c:numRef>
              <c:f>Convergence!$D$2:$D$17</c:f>
              <c:numCache>
                <c:formatCode>General</c:formatCode>
                <c:ptCount val="16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1200</c:v>
                </c:pt>
                <c:pt idx="11">
                  <c:v>1400</c:v>
                </c:pt>
                <c:pt idx="12">
                  <c:v>1600</c:v>
                </c:pt>
                <c:pt idx="13">
                  <c:v>2000</c:v>
                </c:pt>
                <c:pt idx="14">
                  <c:v>5000</c:v>
                </c:pt>
                <c:pt idx="15">
                  <c:v>10000</c:v>
                </c:pt>
              </c:numCache>
            </c:numRef>
          </c:xVal>
          <c:yVal>
            <c:numRef>
              <c:f>Convergence!$F$2:$F$17</c:f>
              <c:numCache>
                <c:formatCode>General</c:formatCode>
                <c:ptCount val="16"/>
                <c:pt idx="0">
                  <c:v>5.2231401155480217</c:v>
                </c:pt>
                <c:pt idx="1">
                  <c:v>4.6652922760628597</c:v>
                </c:pt>
                <c:pt idx="2">
                  <c:v>4.5579496875550811</c:v>
                </c:pt>
                <c:pt idx="3">
                  <c:v>4.3974115088778065</c:v>
                </c:pt>
                <c:pt idx="4">
                  <c:v>4.8209759476488534</c:v>
                </c:pt>
                <c:pt idx="5">
                  <c:v>4.3053768256966576</c:v>
                </c:pt>
                <c:pt idx="6">
                  <c:v>4.6212090451706578</c:v>
                </c:pt>
                <c:pt idx="7">
                  <c:v>4.442256220654949</c:v>
                </c:pt>
                <c:pt idx="8">
                  <c:v>4.3419072876074614</c:v>
                </c:pt>
                <c:pt idx="9">
                  <c:v>4.3304015916124268</c:v>
                </c:pt>
                <c:pt idx="10">
                  <c:v>4.4388439291032613</c:v>
                </c:pt>
                <c:pt idx="11">
                  <c:v>4.5450148684882494</c:v>
                </c:pt>
                <c:pt idx="12">
                  <c:v>4.5638349342428413</c:v>
                </c:pt>
                <c:pt idx="13">
                  <c:v>4.4461306418723545</c:v>
                </c:pt>
                <c:pt idx="14">
                  <c:v>4.4228985164409522</c:v>
                </c:pt>
                <c:pt idx="15">
                  <c:v>4.4269703863920924</c:v>
                </c:pt>
              </c:numCache>
            </c:numRef>
          </c:yVal>
        </c:ser>
        <c:axId val="279317120"/>
        <c:axId val="279343488"/>
      </c:scatterChart>
      <c:valAx>
        <c:axId val="279317120"/>
        <c:scaling>
          <c:orientation val="minMax"/>
        </c:scaling>
        <c:axPos val="b"/>
        <c:numFmt formatCode="General" sourceLinked="1"/>
        <c:tickLblPos val="nextTo"/>
        <c:crossAx val="279343488"/>
        <c:crosses val="autoZero"/>
        <c:crossBetween val="midCat"/>
      </c:valAx>
      <c:valAx>
        <c:axId val="279343488"/>
        <c:scaling>
          <c:orientation val="minMax"/>
        </c:scaling>
        <c:axPos val="l"/>
        <c:majorGridlines/>
        <c:numFmt formatCode="General" sourceLinked="1"/>
        <c:tickLblPos val="nextTo"/>
        <c:crossAx val="2793171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BS'!$F$5</c:f>
              <c:strCache>
                <c:ptCount val="1"/>
                <c:pt idx="0">
                  <c:v>95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BS'!$G$5:$Q$5</c:f>
              <c:numCache>
                <c:formatCode>0.000</c:formatCode>
                <c:ptCount val="11"/>
                <c:pt idx="0">
                  <c:v>6.7981012533037699</c:v>
                </c:pt>
                <c:pt idx="1">
                  <c:v>6.2725673097496681</c:v>
                </c:pt>
                <c:pt idx="2">
                  <c:v>5.7754724777437545</c:v>
                </c:pt>
                <c:pt idx="3">
                  <c:v>5.306587629953107</c:v>
                </c:pt>
                <c:pt idx="4">
                  <c:v>4.8655403486008453</c:v>
                </c:pt>
                <c:pt idx="5">
                  <c:v>4.4518249920284632</c:v>
                </c:pt>
                <c:pt idx="6">
                  <c:v>4.0648142357548096</c:v>
                </c:pt>
                <c:pt idx="7">
                  <c:v>3.7037717382691966</c:v>
                </c:pt>
                <c:pt idx="8">
                  <c:v>3.3678655852129893</c:v>
                </c:pt>
                <c:pt idx="9">
                  <c:v>3.0561821791728754</c:v>
                </c:pt>
                <c:pt idx="10">
                  <c:v>2.7677402643089586</c:v>
                </c:pt>
              </c:numCache>
            </c:numRef>
          </c:val>
        </c:ser>
        <c:ser>
          <c:idx val="1"/>
          <c:order val="1"/>
          <c:tx>
            <c:strRef>
              <c:f>'plots BS'!$F$6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BS'!$G$6:$Q$6</c:f>
              <c:numCache>
                <c:formatCode>0.000</c:formatCode>
                <c:ptCount val="11"/>
                <c:pt idx="0">
                  <c:v>7.4235624674817231</c:v>
                </c:pt>
                <c:pt idx="1">
                  <c:v>6.8696602138648615</c:v>
                </c:pt>
                <c:pt idx="2">
                  <c:v>6.3439778790710264</c:v>
                </c:pt>
                <c:pt idx="3">
                  <c:v>5.8464402596976157</c:v>
                </c:pt>
                <c:pt idx="4">
                  <c:v>5.3768252177768048</c:v>
                </c:pt>
                <c:pt idx="5">
                  <c:v>4.9347715644895942</c:v>
                </c:pt>
                <c:pt idx="6">
                  <c:v>4.5197886739548849</c:v>
                </c:pt>
                <c:pt idx="7">
                  <c:v>4.1312675066514259</c:v>
                </c:pt>
                <c:pt idx="8">
                  <c:v>3.7684927140238642</c:v>
                </c:pt>
                <c:pt idx="9">
                  <c:v>3.4306554985843221</c:v>
                </c:pt>
                <c:pt idx="10">
                  <c:v>3.1168669159890179</c:v>
                </c:pt>
              </c:numCache>
            </c:numRef>
          </c:val>
        </c:ser>
        <c:ser>
          <c:idx val="2"/>
          <c:order val="2"/>
          <c:tx>
            <c:strRef>
              <c:f>'plots BS'!$F$7</c:f>
              <c:strCache>
                <c:ptCount val="1"/>
                <c:pt idx="0">
                  <c:v>97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BS'!$G$7:$Q$7</c:f>
              <c:numCache>
                <c:formatCode>0.000</c:formatCode>
                <c:ptCount val="11"/>
                <c:pt idx="0">
                  <c:v>8.0765870660724772</c:v>
                </c:pt>
                <c:pt idx="1">
                  <c:v>7.4949760955947013</c:v>
                </c:pt>
                <c:pt idx="2">
                  <c:v>6.9412191744259601</c:v>
                </c:pt>
                <c:pt idx="3">
                  <c:v>6.4153915039507297</c:v>
                </c:pt>
                <c:pt idx="4">
                  <c:v>5.9174201671584399</c:v>
                </c:pt>
                <c:pt idx="5">
                  <c:v>5.4470897343888609</c:v>
                </c:pt>
                <c:pt idx="6">
                  <c:v>5.0040498001772846</c:v>
                </c:pt>
                <c:pt idx="7">
                  <c:v>4.5878241690281953</c:v>
                </c:pt>
                <c:pt idx="8">
                  <c:v>4.1978213892631047</c:v>
                </c:pt>
                <c:pt idx="9">
                  <c:v>3.833346326320914</c:v>
                </c:pt>
                <c:pt idx="10">
                  <c:v>3.4936124690766306</c:v>
                </c:pt>
              </c:numCache>
            </c:numRef>
          </c:val>
        </c:ser>
        <c:ser>
          <c:idx val="3"/>
          <c:order val="3"/>
          <c:tx>
            <c:strRef>
              <c:f>'plots BS'!$F$8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BS'!$G$8:$Q$8</c:f>
              <c:numCache>
                <c:formatCode>0.000</c:formatCode>
                <c:ptCount val="11"/>
                <c:pt idx="0">
                  <c:v>8.7561167124253387</c:v>
                </c:pt>
                <c:pt idx="1">
                  <c:v>8.1475788281248143</c:v>
                </c:pt>
                <c:pt idx="2">
                  <c:v>7.5663926857285375</c:v>
                </c:pt>
                <c:pt idx="3">
                  <c:v>7.0127781349870588</c:v>
                </c:pt>
                <c:pt idx="4">
                  <c:v>6.4868080910136499</c:v>
                </c:pt>
                <c:pt idx="5">
                  <c:v>5.9884118314752115</c:v>
                </c:pt>
                <c:pt idx="6">
                  <c:v>5.5173803679310396</c:v>
                </c:pt>
                <c:pt idx="7">
                  <c:v>5.0733736544888188</c:v>
                </c:pt>
                <c:pt idx="8">
                  <c:v>4.6559293687352508</c:v>
                </c:pt>
                <c:pt idx="9">
                  <c:v>4.264472982299047</c:v>
                </c:pt>
                <c:pt idx="10">
                  <c:v>3.89832883088242</c:v>
                </c:pt>
              </c:numCache>
            </c:numRef>
          </c:val>
        </c:ser>
        <c:ser>
          <c:idx val="4"/>
          <c:order val="4"/>
          <c:tx>
            <c:strRef>
              <c:f>'plots BS'!$F$9</c:f>
              <c:strCache>
                <c:ptCount val="1"/>
                <c:pt idx="0">
                  <c:v>99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BS'!$G$9:$Q$9</c:f>
              <c:numCache>
                <c:formatCode>0.000</c:formatCode>
                <c:ptCount val="11"/>
                <c:pt idx="0">
                  <c:v>9.4610095652162514</c:v>
                </c:pt>
                <c:pt idx="1">
                  <c:v>8.8264333823481849</c:v>
                </c:pt>
                <c:pt idx="2">
                  <c:v>8.2185819883039386</c:v>
                </c:pt>
                <c:pt idx="3">
                  <c:v>7.6378121482824923</c:v>
                </c:pt>
                <c:pt idx="4">
                  <c:v>7.0843370955481433</c:v>
                </c:pt>
                <c:pt idx="5">
                  <c:v>6.5582275506493204</c:v>
                </c:pt>
                <c:pt idx="6">
                  <c:v>6.059414898766903</c:v>
                </c:pt>
                <c:pt idx="7">
                  <c:v>5.5876963387370537</c:v>
                </c:pt>
                <c:pt idx="8">
                  <c:v>5.1427417810135765</c:v>
                </c:pt>
                <c:pt idx="9">
                  <c:v>4.7241022454579209</c:v>
                </c:pt>
                <c:pt idx="10">
                  <c:v>4.3312194932610808</c:v>
                </c:pt>
              </c:numCache>
            </c:numRef>
          </c:val>
        </c:ser>
        <c:ser>
          <c:idx val="5"/>
          <c:order val="5"/>
          <c:tx>
            <c:strRef>
              <c:f>'plots BS'!$F$10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BS'!$G$10:$Q$10</c:f>
              <c:numCache>
                <c:formatCode>0.000</c:formatCode>
                <c:ptCount val="11"/>
                <c:pt idx="0">
                  <c:v>10.190058437885881</c:v>
                </c:pt>
                <c:pt idx="1">
                  <c:v>9.5304234375521233</c:v>
                </c:pt>
                <c:pt idx="2">
                  <c:v>8.8967746062651969</c:v>
                </c:pt>
                <c:pt idx="3">
                  <c:v>8.2895962070532718</c:v>
                </c:pt>
                <c:pt idx="4">
                  <c:v>7.7092343972319881</c:v>
                </c:pt>
                <c:pt idx="5">
                  <c:v>7.1558960561092348</c:v>
                </c:pt>
                <c:pt idx="6">
                  <c:v>6.6296497968241894</c:v>
                </c:pt>
                <c:pt idx="7">
                  <c:v>6.1304290291912409</c:v>
                </c:pt>
                <c:pt idx="8">
                  <c:v>5.6580368977584357</c:v>
                </c:pt>
                <c:pt idx="9">
                  <c:v>5.2121528854732233</c:v>
                </c:pt>
                <c:pt idx="10">
                  <c:v>4.7923408486717705</c:v>
                </c:pt>
              </c:numCache>
            </c:numRef>
          </c:val>
        </c:ser>
        <c:ser>
          <c:idx val="6"/>
          <c:order val="6"/>
          <c:tx>
            <c:strRef>
              <c:f>'plots BS'!$F$11</c:f>
              <c:strCache>
                <c:ptCount val="1"/>
                <c:pt idx="0">
                  <c:v>101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BS'!$G$11:$Q$11</c:f>
              <c:numCache>
                <c:formatCode>0.000</c:formatCode>
                <c:ptCount val="11"/>
                <c:pt idx="0">
                  <c:v>10.942008389599323</c:v>
                </c:pt>
                <c:pt idx="1">
                  <c:v>10.258368807217366</c:v>
                </c:pt>
                <c:pt idx="2">
                  <c:v>9.5998789096502577</c:v>
                </c:pt>
                <c:pt idx="3">
                  <c:v>8.9671396662511782</c:v>
                </c:pt>
                <c:pt idx="4">
                  <c:v>8.3606211581473104</c:v>
                </c:pt>
                <c:pt idx="5">
                  <c:v>7.7806593499522094</c:v>
                </c:pt>
                <c:pt idx="6">
                  <c:v>7.2274550166703264</c:v>
                </c:pt>
                <c:pt idx="7">
                  <c:v>6.7010747469050216</c:v>
                </c:pt>
                <c:pt idx="8">
                  <c:v>6.2014538962566164</c:v>
                </c:pt>
                <c:pt idx="9">
                  <c:v>5.7284013250813857</c:v>
                </c:pt>
                <c:pt idx="10">
                  <c:v>5.2816057232388331</c:v>
                </c:pt>
              </c:numCache>
            </c:numRef>
          </c:val>
        </c:ser>
        <c:ser>
          <c:idx val="7"/>
          <c:order val="7"/>
          <c:tx>
            <c:strRef>
              <c:f>'plots BS'!$F$12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BS'!$G$12:$Q$12</c:f>
              <c:numCache>
                <c:formatCode>0.000</c:formatCode>
                <c:ptCount val="11"/>
                <c:pt idx="0">
                  <c:v>11.715573439267729</c:v>
                </c:pt>
                <c:pt idx="1">
                  <c:v>11.009042335095288</c:v>
                </c:pt>
                <c:pt idx="2">
                  <c:v>10.326740843024993</c:v>
                </c:pt>
                <c:pt idx="3">
                  <c:v>9.6693747918321549</c:v>
                </c:pt>
                <c:pt idx="4">
                  <c:v>9.03752787198421</c:v>
                </c:pt>
                <c:pt idx="5">
                  <c:v>8.4316565280450106</c:v>
                </c:pt>
                <c:pt idx="6">
                  <c:v>7.8520869270517579</c:v>
                </c:pt>
                <c:pt idx="7">
                  <c:v>7.299013977231418</c:v>
                </c:pt>
                <c:pt idx="8">
                  <c:v>6.7725023214925599</c:v>
                </c:pt>
                <c:pt idx="9">
                  <c:v>6.2724891861737078</c:v>
                </c:pt>
                <c:pt idx="10">
                  <c:v>5.798788928528829</c:v>
                </c:pt>
              </c:numCache>
            </c:numRef>
          </c:val>
        </c:ser>
        <c:ser>
          <c:idx val="8"/>
          <c:order val="8"/>
          <c:tx>
            <c:strRef>
              <c:f>'plots BS'!$F$13</c:f>
              <c:strCache>
                <c:ptCount val="1"/>
                <c:pt idx="0">
                  <c:v>103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BS'!$G$13:$Q$13</c:f>
              <c:numCache>
                <c:formatCode>0.000</c:formatCode>
                <c:ptCount val="11"/>
                <c:pt idx="0">
                  <c:v>12.509452153615968</c:v>
                </c:pt>
                <c:pt idx="1">
                  <c:v>11.781185969862136</c:v>
                </c:pt>
                <c:pt idx="2">
                  <c:v>11.076160160239723</c:v>
                </c:pt>
                <c:pt idx="3">
                  <c:v>10.395172826468652</c:v>
                </c:pt>
                <c:pt idx="4">
                  <c:v>9.7389099390082166</c:v>
                </c:pt>
                <c:pt idx="5">
                  <c:v>9.1079385594373932</c:v>
                </c:pt>
                <c:pt idx="6">
                  <c:v>8.5027020152802635</c:v>
                </c:pt>
                <c:pt idx="7">
                  <c:v>7.9235170522160772</c:v>
                </c:pt>
                <c:pt idx="8">
                  <c:v>7.3705729377925095</c:v>
                </c:pt>
                <c:pt idx="9">
                  <c:v>6.8439324442650076</c:v>
                </c:pt>
                <c:pt idx="10">
                  <c:v>6.3435345972447053</c:v>
                </c:pt>
              </c:numCache>
            </c:numRef>
          </c:val>
        </c:ser>
        <c:ser>
          <c:idx val="9"/>
          <c:order val="9"/>
          <c:tx>
            <c:strRef>
              <c:f>'plots BS'!$F$14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BS'!$G$14:$Q$14</c:f>
              <c:numCache>
                <c:formatCode>0.000</c:formatCode>
                <c:ptCount val="11"/>
                <c:pt idx="0">
                  <c:v>13.32234191943266</c:v>
                </c:pt>
                <c:pt idx="1">
                  <c:v>12.573525781872391</c:v>
                </c:pt>
                <c:pt idx="2">
                  <c:v>11.846905889360983</c:v>
                </c:pt>
                <c:pt idx="3">
                  <c:v>11.143359594644437</c:v>
                </c:pt>
                <c:pt idx="4">
                  <c:v>10.463663101193433</c:v>
                </c:pt>
                <c:pt idx="5">
                  <c:v>9.8084832486251372</c:v>
                </c:pt>
                <c:pt idx="6">
                  <c:v>9.1783710896436617</c:v>
                </c:pt>
                <c:pt idx="7">
                  <c:v>8.5737573298870871</c:v>
                </c:pt>
                <c:pt idx="8">
                  <c:v>7.9949496520599652</c:v>
                </c:pt>
                <c:pt idx="9">
                  <c:v>7.4421318983536082</c:v>
                </c:pt>
                <c:pt idx="10">
                  <c:v>6.9153650418302632</c:v>
                </c:pt>
              </c:numCache>
            </c:numRef>
          </c:val>
        </c:ser>
        <c:ser>
          <c:idx val="10"/>
          <c:order val="10"/>
          <c:tx>
            <c:strRef>
              <c:f>'plots BS'!$F$15</c:f>
              <c:strCache>
                <c:ptCount val="1"/>
                <c:pt idx="0">
                  <c:v>105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BS'!$G$15:$Q$15</c:f>
              <c:numCache>
                <c:formatCode>0.000</c:formatCode>
                <c:ptCount val="11"/>
                <c:pt idx="0">
                  <c:v>14.152951766934891</c:v>
                </c:pt>
                <c:pt idx="1">
                  <c:v>13.384785740583055</c:v>
                </c:pt>
                <c:pt idx="2">
                  <c:v>12.637730803138396</c:v>
                </c:pt>
                <c:pt idx="3">
                  <c:v>11.912730385912596</c:v>
                </c:pt>
                <c:pt idx="4">
                  <c:v>11.21063844753553</c:v>
                </c:pt>
                <c:pt idx="5">
                  <c:v>10.532210070555536</c:v>
                </c:pt>
                <c:pt idx="6">
                  <c:v>9.8780936587245662</c:v>
                </c:pt>
                <c:pt idx="7">
                  <c:v>9.2488248475294625</c:v>
                </c:pt>
                <c:pt idx="8">
                  <c:v>8.644822192857383</c:v>
                </c:pt>
                <c:pt idx="9">
                  <c:v>8.0663846559883154</c:v>
                </c:pt>
                <c:pt idx="10">
                  <c:v>7.5136908589146927</c:v>
                </c:pt>
              </c:numCache>
            </c:numRef>
          </c:val>
        </c:ser>
        <c:bandFmts/>
        <c:axId val="280065536"/>
        <c:axId val="280067072"/>
        <c:axId val="280057152"/>
      </c:surface3DChart>
      <c:catAx>
        <c:axId val="280065536"/>
        <c:scaling>
          <c:orientation val="minMax"/>
        </c:scaling>
        <c:axPos val="b"/>
        <c:numFmt formatCode="General" sourceLinked="1"/>
        <c:tickLblPos val="nextTo"/>
        <c:crossAx val="280067072"/>
        <c:crosses val="autoZero"/>
        <c:auto val="1"/>
        <c:lblAlgn val="ctr"/>
        <c:lblOffset val="100"/>
      </c:catAx>
      <c:valAx>
        <c:axId val="280067072"/>
        <c:scaling>
          <c:orientation val="minMax"/>
        </c:scaling>
        <c:axPos val="r"/>
        <c:majorGridlines/>
        <c:numFmt formatCode="0.000" sourceLinked="1"/>
        <c:tickLblPos val="nextTo"/>
        <c:crossAx val="280065536"/>
        <c:crosses val="autoZero"/>
        <c:crossBetween val="midCat"/>
      </c:valAx>
      <c:serAx>
        <c:axId val="280057152"/>
        <c:scaling>
          <c:orientation val="minMax"/>
        </c:scaling>
        <c:axPos val="b"/>
        <c:tickLblPos val="nextTo"/>
        <c:crossAx val="280067072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BS'!$F$20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BS'!$G$20:$Q$20</c:f>
              <c:numCache>
                <c:formatCode>General</c:formatCode>
                <c:ptCount val="11"/>
                <c:pt idx="0">
                  <c:v>2.7554492025793048E-8</c:v>
                </c:pt>
                <c:pt idx="1">
                  <c:v>1.6022279461098909E-2</c:v>
                </c:pt>
                <c:pt idx="2">
                  <c:v>0.14875976970557936</c:v>
                </c:pt>
                <c:pt idx="3">
                  <c:v>0.64562432256278157</c:v>
                </c:pt>
                <c:pt idx="4">
                  <c:v>1.2424276095257447</c:v>
                </c:pt>
                <c:pt idx="5">
                  <c:v>1.8610227050540153</c:v>
                </c:pt>
                <c:pt idx="6">
                  <c:v>2.4794130303420729</c:v>
                </c:pt>
                <c:pt idx="7">
                  <c:v>3.0904022451377848</c:v>
                </c:pt>
                <c:pt idx="8">
                  <c:v>3.6916327293491022</c:v>
                </c:pt>
                <c:pt idx="9">
                  <c:v>4.2825469076459655</c:v>
                </c:pt>
                <c:pt idx="10">
                  <c:v>4.863297979575627</c:v>
                </c:pt>
              </c:numCache>
            </c:numRef>
          </c:val>
        </c:ser>
        <c:ser>
          <c:idx val="1"/>
          <c:order val="1"/>
          <c:tx>
            <c:strRef>
              <c:f>'plots BS'!$F$21</c:f>
              <c:strCache>
                <c:ptCount val="1"/>
                <c:pt idx="0">
                  <c:v>92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BS'!$G$21:$Q$21</c:f>
              <c:numCache>
                <c:formatCode>General</c:formatCode>
                <c:ptCount val="11"/>
                <c:pt idx="0">
                  <c:v>7.3316921097418743E-6</c:v>
                </c:pt>
                <c:pt idx="1">
                  <c:v>6.1535120979050006E-2</c:v>
                </c:pt>
                <c:pt idx="2">
                  <c:v>0.32316442750120622</c:v>
                </c:pt>
                <c:pt idx="3">
                  <c:v>1.0279782165280089</c:v>
                </c:pt>
                <c:pt idx="4">
                  <c:v>1.7639800219205419</c:v>
                </c:pt>
                <c:pt idx="5">
                  <c:v>2.4836367036271909</c:v>
                </c:pt>
                <c:pt idx="6">
                  <c:v>3.1805467934307643</c:v>
                </c:pt>
                <c:pt idx="7">
                  <c:v>3.8554846902523252</c:v>
                </c:pt>
                <c:pt idx="8">
                  <c:v>4.5105748925385214</c:v>
                </c:pt>
                <c:pt idx="9">
                  <c:v>5.1479913970973641</c:v>
                </c:pt>
                <c:pt idx="10">
                  <c:v>5.7696605016633313</c:v>
                </c:pt>
              </c:numCache>
            </c:numRef>
          </c:val>
        </c:ser>
        <c:ser>
          <c:idx val="2"/>
          <c:order val="2"/>
          <c:tx>
            <c:strRef>
              <c:f>'plots BS'!$F$22</c:f>
              <c:strCache>
                <c:ptCount val="1"/>
                <c:pt idx="0">
                  <c:v>94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BS'!$G$22:$Q$22</c:f>
              <c:numCache>
                <c:formatCode>General</c:formatCode>
                <c:ptCount val="11"/>
                <c:pt idx="0">
                  <c:v>5.9030572863881525E-4</c:v>
                </c:pt>
                <c:pt idx="1">
                  <c:v>0.19026338216046135</c:v>
                </c:pt>
                <c:pt idx="2">
                  <c:v>0.6326209968959482</c:v>
                </c:pt>
                <c:pt idx="3">
                  <c:v>1.555904794818403</c:v>
                </c:pt>
                <c:pt idx="4">
                  <c:v>2.4218526552554529</c:v>
                </c:pt>
                <c:pt idx="5">
                  <c:v>3.2322217606243271</c:v>
                </c:pt>
                <c:pt idx="6">
                  <c:v>3.9984645919081814</c:v>
                </c:pt>
                <c:pt idx="7">
                  <c:v>4.7294686443721403</c:v>
                </c:pt>
                <c:pt idx="8">
                  <c:v>5.4316530274911443</c:v>
                </c:pt>
                <c:pt idx="9">
                  <c:v>6.1097152892115432</c:v>
                </c:pt>
                <c:pt idx="10">
                  <c:v>6.7671809407071066</c:v>
                </c:pt>
              </c:numCache>
            </c:numRef>
          </c:val>
        </c:ser>
        <c:ser>
          <c:idx val="3"/>
          <c:order val="3"/>
          <c:tx>
            <c:strRef>
              <c:f>'plots BS'!$F$23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BS'!$G$23:$Q$23</c:f>
              <c:numCache>
                <c:formatCode>General</c:formatCode>
                <c:ptCount val="11"/>
                <c:pt idx="0">
                  <c:v>1.6144464153355464E-2</c:v>
                </c:pt>
                <c:pt idx="1">
                  <c:v>0.48478464407115496</c:v>
                </c:pt>
                <c:pt idx="2">
                  <c:v>1.1280679273117542</c:v>
                </c:pt>
                <c:pt idx="3">
                  <c:v>2.2495687173771444</c:v>
                </c:pt>
                <c:pt idx="4">
                  <c:v>3.2252615717358637</c:v>
                </c:pt>
                <c:pt idx="5">
                  <c:v>4.1110169428657883</c:v>
                </c:pt>
                <c:pt idx="6">
                  <c:v>4.9347715644895942</c:v>
                </c:pt>
                <c:pt idx="7">
                  <c:v>5.7124264708639672</c:v>
                </c:pt>
                <c:pt idx="8">
                  <c:v>6.4539902135103588</c:v>
                </c:pt>
                <c:pt idx="9">
                  <c:v>7.1662288239227649</c:v>
                </c:pt>
                <c:pt idx="10">
                  <c:v>7.8539631550441484</c:v>
                </c:pt>
              </c:numCache>
            </c:numRef>
          </c:val>
        </c:ser>
        <c:ser>
          <c:idx val="4"/>
          <c:order val="4"/>
          <c:tx>
            <c:strRef>
              <c:f>'plots BS'!$F$24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BS'!$G$24:$Q$24</c:f>
              <c:numCache>
                <c:formatCode>General</c:formatCode>
                <c:ptCount val="11"/>
                <c:pt idx="0">
                  <c:v>0.17123449220149567</c:v>
                </c:pt>
                <c:pt idx="1">
                  <c:v>1.0420951277729245</c:v>
                </c:pt>
                <c:pt idx="2">
                  <c:v>1.851539453577395</c:v>
                </c:pt>
                <c:pt idx="3">
                  <c:v>3.1212692104764059</c:v>
                </c:pt>
                <c:pt idx="4">
                  <c:v>4.178182952244363</c:v>
                </c:pt>
                <c:pt idx="5">
                  <c:v>5.1206135058296312</c:v>
                </c:pt>
                <c:pt idx="6">
                  <c:v>5.9884118314752115</c:v>
                </c:pt>
                <c:pt idx="7">
                  <c:v>6.8024178126807655</c:v>
                </c:pt>
                <c:pt idx="8">
                  <c:v>7.5751449214313311</c:v>
                </c:pt>
                <c:pt idx="9">
                  <c:v>8.314800311808753</c:v>
                </c:pt>
                <c:pt idx="10">
                  <c:v>9.0271091921839854</c:v>
                </c:pt>
              </c:numCache>
            </c:numRef>
          </c:val>
        </c:ser>
        <c:ser>
          <c:idx val="5"/>
          <c:order val="5"/>
          <c:tx>
            <c:strRef>
              <c:f>'plots BS'!$F$25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BS'!$G$25:$Q$25</c:f>
              <c:numCache>
                <c:formatCode>General</c:formatCode>
                <c:ptCount val="11"/>
                <c:pt idx="0">
                  <c:v>0.82798187063469442</c:v>
                </c:pt>
                <c:pt idx="1">
                  <c:v>1.9350844810034076</c:v>
                </c:pt>
                <c:pt idx="2">
                  <c:v>2.8255743399551392</c:v>
                </c:pt>
                <c:pt idx="3">
                  <c:v>4.1740416425125417</c:v>
                </c:pt>
                <c:pt idx="4">
                  <c:v>5.2792483701123061</c:v>
                </c:pt>
                <c:pt idx="5">
                  <c:v>6.2581262657697252</c:v>
                </c:pt>
                <c:pt idx="6">
                  <c:v>7.1558960561092348</c:v>
                </c:pt>
                <c:pt idx="7">
                  <c:v>7.9957143179194574</c:v>
                </c:pt>
                <c:pt idx="8">
                  <c:v>8.7913166235387763</c:v>
                </c:pt>
                <c:pt idx="9">
                  <c:v>9.5516394415244648</c:v>
                </c:pt>
                <c:pt idx="10">
                  <c:v>10.282881297263451</c:v>
                </c:pt>
              </c:numCache>
            </c:numRef>
          </c:val>
        </c:ser>
        <c:ser>
          <c:idx val="6"/>
          <c:order val="6"/>
          <c:tx>
            <c:strRef>
              <c:f>'plots BS'!$F$26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BS'!$G$26:$Q$26</c:f>
              <c:numCache>
                <c:formatCode>General</c:formatCode>
                <c:ptCount val="11"/>
                <c:pt idx="0">
                  <c:v>2.221864178638981</c:v>
                </c:pt>
                <c:pt idx="1">
                  <c:v>3.1778004312546813</c:v>
                </c:pt>
                <c:pt idx="2">
                  <c:v>4.0479437567966272</c:v>
                </c:pt>
                <c:pt idx="3">
                  <c:v>5.4017357694235102</c:v>
                </c:pt>
                <c:pt idx="4">
                  <c:v>6.5221949257042127</c:v>
                </c:pt>
                <c:pt idx="5">
                  <c:v>7.5176171252153523</c:v>
                </c:pt>
                <c:pt idx="6">
                  <c:v>8.4316565280450106</c:v>
                </c:pt>
                <c:pt idx="7">
                  <c:v>9.287092693426402</c:v>
                </c:pt>
                <c:pt idx="8">
                  <c:v>10.097588805484619</c:v>
                </c:pt>
                <c:pt idx="9">
                  <c:v>10.872100730434738</c:v>
                </c:pt>
                <c:pt idx="10">
                  <c:v>11.616873979478463</c:v>
                </c:pt>
              </c:numCache>
            </c:numRef>
          </c:val>
        </c:ser>
        <c:ser>
          <c:idx val="7"/>
          <c:order val="7"/>
          <c:tx>
            <c:strRef>
              <c:f>'plots BS'!$F$27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BS'!$G$27:$Q$27</c:f>
              <c:numCache>
                <c:formatCode>General</c:formatCode>
                <c:ptCount val="11"/>
                <c:pt idx="0">
                  <c:v>4.0777140987095066</c:v>
                </c:pt>
                <c:pt idx="1">
                  <c:v>4.7210461185369752</c:v>
                </c:pt>
                <c:pt idx="2">
                  <c:v>5.4936151314637129</c:v>
                </c:pt>
                <c:pt idx="3">
                  <c:v>6.7904152178734023</c:v>
                </c:pt>
                <c:pt idx="4">
                  <c:v>7.8967444642182443</c:v>
                </c:pt>
                <c:pt idx="5">
                  <c:v>8.8906950787709889</c:v>
                </c:pt>
                <c:pt idx="6">
                  <c:v>9.8084832486251372</c:v>
                </c:pt>
                <c:pt idx="7">
                  <c:v>10.670166244461974</c:v>
                </c:pt>
                <c:pt idx="8">
                  <c:v>11.488189500105427</c:v>
                </c:pt>
                <c:pt idx="9">
                  <c:v>12.270893466707051</c:v>
                </c:pt>
                <c:pt idx="10">
                  <c:v>13.024186537408269</c:v>
                </c:pt>
              </c:numCache>
            </c:numRef>
          </c:val>
        </c:ser>
        <c:ser>
          <c:idx val="8"/>
          <c:order val="8"/>
          <c:tx>
            <c:strRef>
              <c:f>'plots BS'!$F$28</c:f>
              <c:strCache>
                <c:ptCount val="1"/>
                <c:pt idx="0">
                  <c:v>106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BS'!$G$28:$Q$28</c:f>
              <c:numCache>
                <c:formatCode>General</c:formatCode>
                <c:ptCount val="11"/>
                <c:pt idx="0">
                  <c:v>6.0609412292958496</c:v>
                </c:pt>
                <c:pt idx="1">
                  <c:v>6.4795452497820776</c:v>
                </c:pt>
                <c:pt idx="2">
                  <c:v>7.1224608003845589</c:v>
                </c:pt>
                <c:pt idx="3">
                  <c:v>8.320637766322406</c:v>
                </c:pt>
                <c:pt idx="4">
                  <c:v>9.3897381907508191</c:v>
                </c:pt>
                <c:pt idx="5">
                  <c:v>10.367208414049429</c:v>
                </c:pt>
                <c:pt idx="6">
                  <c:v>11.277994604372324</c:v>
                </c:pt>
                <c:pt idx="7">
                  <c:v>12.137727138176572</c:v>
                </c:pt>
                <c:pt idx="8">
                  <c:v>12.956751762522671</c:v>
                </c:pt>
                <c:pt idx="9">
                  <c:v>13.742286548664168</c:v>
                </c:pt>
                <c:pt idx="10">
                  <c:v>14.499588170551604</c:v>
                </c:pt>
              </c:numCache>
            </c:numRef>
          </c:val>
        </c:ser>
        <c:ser>
          <c:idx val="9"/>
          <c:order val="9"/>
          <c:tx>
            <c:strRef>
              <c:f>'plots BS'!$F$29</c:f>
              <c:strCache>
                <c:ptCount val="1"/>
                <c:pt idx="0">
                  <c:v>108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BS'!$G$29:$Q$29</c:f>
              <c:numCache>
                <c:formatCode>General</c:formatCode>
                <c:ptCount val="11"/>
                <c:pt idx="0">
                  <c:v>8.0600073200424873</c:v>
                </c:pt>
                <c:pt idx="1">
                  <c:v>8.3678152210480619</c:v>
                </c:pt>
                <c:pt idx="2">
                  <c:v>8.8890832944596241</c:v>
                </c:pt>
                <c:pt idx="3">
                  <c:v>9.9700609051063509</c:v>
                </c:pt>
                <c:pt idx="4">
                  <c:v>10.986346213370041</c:v>
                </c:pt>
                <c:pt idx="5">
                  <c:v>11.935949758310315</c:v>
                </c:pt>
                <c:pt idx="6">
                  <c:v>12.831101605569344</c:v>
                </c:pt>
                <c:pt idx="7">
                  <c:v>13.682075969655074</c:v>
                </c:pt>
                <c:pt idx="8">
                  <c:v>14.496559811261292</c:v>
                </c:pt>
                <c:pt idx="9">
                  <c:v>15.280299123987788</c:v>
                </c:pt>
                <c:pt idx="10">
                  <c:v>16.037669700728415</c:v>
                </c:pt>
              </c:numCache>
            </c:numRef>
          </c:val>
        </c:ser>
        <c:ser>
          <c:idx val="10"/>
          <c:order val="10"/>
          <c:tx>
            <c:strRef>
              <c:f>'plots BS'!$F$30</c:f>
              <c:strCache>
                <c:ptCount val="1"/>
                <c:pt idx="0">
                  <c:v>110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BS'!$G$30:$Q$30</c:f>
              <c:numCache>
                <c:formatCode>General</c:formatCode>
                <c:ptCount val="11"/>
                <c:pt idx="0">
                  <c:v>10.059982332671126</c:v>
                </c:pt>
                <c:pt idx="1">
                  <c:v>10.322545642252905</c:v>
                </c:pt>
                <c:pt idx="2">
                  <c:v>10.75118425356456</c:v>
                </c:pt>
                <c:pt idx="3">
                  <c:v>11.715868565037226</c:v>
                </c:pt>
                <c:pt idx="4">
                  <c:v>12.671197922371391</c:v>
                </c:pt>
                <c:pt idx="5">
                  <c:v>13.585309199751876</c:v>
                </c:pt>
                <c:pt idx="6">
                  <c:v>14.458433415031294</c:v>
                </c:pt>
                <c:pt idx="7">
                  <c:v>15.295320805274969</c:v>
                </c:pt>
                <c:pt idx="8">
                  <c:v>16.100770317612216</c:v>
                </c:pt>
                <c:pt idx="9">
                  <c:v>16.878870550277014</c:v>
                </c:pt>
                <c:pt idx="10">
                  <c:v>17.632977806382556</c:v>
                </c:pt>
              </c:numCache>
            </c:numRef>
          </c:val>
        </c:ser>
        <c:bandFmts/>
        <c:axId val="280170496"/>
        <c:axId val="280172032"/>
        <c:axId val="280143168"/>
      </c:surface3DChart>
      <c:catAx>
        <c:axId val="280170496"/>
        <c:scaling>
          <c:orientation val="minMax"/>
        </c:scaling>
        <c:axPos val="b"/>
        <c:numFmt formatCode="General" sourceLinked="1"/>
        <c:tickLblPos val="nextTo"/>
        <c:crossAx val="280172032"/>
        <c:crosses val="autoZero"/>
        <c:auto val="1"/>
        <c:lblAlgn val="ctr"/>
        <c:lblOffset val="100"/>
      </c:catAx>
      <c:valAx>
        <c:axId val="280172032"/>
        <c:scaling>
          <c:orientation val="minMax"/>
        </c:scaling>
        <c:axPos val="r"/>
        <c:majorGridlines/>
        <c:numFmt formatCode="General" sourceLinked="1"/>
        <c:tickLblPos val="nextTo"/>
        <c:crossAx val="280170496"/>
        <c:crosses val="autoZero"/>
        <c:crossBetween val="midCat"/>
      </c:valAx>
      <c:serAx>
        <c:axId val="280143168"/>
        <c:scaling>
          <c:orientation val="minMax"/>
        </c:scaling>
        <c:axPos val="b"/>
        <c:tickLblPos val="nextTo"/>
        <c:crossAx val="280172032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MC'!$F$5</c:f>
              <c:strCache>
                <c:ptCount val="1"/>
                <c:pt idx="0">
                  <c:v>95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MC'!$G$5:$Q$5</c:f>
              <c:numCache>
                <c:formatCode>0.000</c:formatCode>
                <c:ptCount val="11"/>
                <c:pt idx="0">
                  <c:v>6.9005071603219763</c:v>
                </c:pt>
                <c:pt idx="1">
                  <c:v>6.277021152774453</c:v>
                </c:pt>
                <c:pt idx="2">
                  <c:v>5.7843849136735308</c:v>
                </c:pt>
                <c:pt idx="3">
                  <c:v>5.3192755760967714</c:v>
                </c:pt>
                <c:pt idx="4">
                  <c:v>4.8825181261163664</c:v>
                </c:pt>
                <c:pt idx="5">
                  <c:v>4.4733041824884578</c:v>
                </c:pt>
                <c:pt idx="6">
                  <c:v>4.0904299702068316</c:v>
                </c:pt>
                <c:pt idx="7">
                  <c:v>3.7330689541888713</c:v>
                </c:pt>
                <c:pt idx="8">
                  <c:v>3.4020037059116897</c:v>
                </c:pt>
                <c:pt idx="9">
                  <c:v>3.0938619918350212</c:v>
                </c:pt>
                <c:pt idx="10">
                  <c:v>2.8062994184752985</c:v>
                </c:pt>
              </c:numCache>
            </c:numRef>
          </c:val>
        </c:ser>
        <c:ser>
          <c:idx val="1"/>
          <c:order val="1"/>
          <c:tx>
            <c:strRef>
              <c:f>'plots MC'!$F$6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MC'!$G$6:$Q$6</c:f>
              <c:numCache>
                <c:formatCode>0.000</c:formatCode>
                <c:ptCount val="11"/>
                <c:pt idx="0">
                  <c:v>7.5884066315789154</c:v>
                </c:pt>
                <c:pt idx="1">
                  <c:v>7.0281973442292918</c:v>
                </c:pt>
                <c:pt idx="2">
                  <c:v>6.4983215491114246</c:v>
                </c:pt>
                <c:pt idx="3">
                  <c:v>5.9953246017263435</c:v>
                </c:pt>
                <c:pt idx="4">
                  <c:v>5.5200017565448452</c:v>
                </c:pt>
                <c:pt idx="5">
                  <c:v>5.0707124531890688</c:v>
                </c:pt>
                <c:pt idx="6">
                  <c:v>4.6486695269023626</c:v>
                </c:pt>
                <c:pt idx="7">
                  <c:v>4.2541227952358254</c:v>
                </c:pt>
                <c:pt idx="8">
                  <c:v>3.8865595328236222</c:v>
                </c:pt>
                <c:pt idx="9">
                  <c:v>3.5431591339890685</c:v>
                </c:pt>
                <c:pt idx="10">
                  <c:v>3.2249922644030322</c:v>
                </c:pt>
              </c:numCache>
            </c:numRef>
          </c:val>
        </c:ser>
        <c:ser>
          <c:idx val="2"/>
          <c:order val="2"/>
          <c:tx>
            <c:strRef>
              <c:f>'plots MC'!$F$7</c:f>
              <c:strCache>
                <c:ptCount val="1"/>
                <c:pt idx="0">
                  <c:v>97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MC'!$G$7:$Q$7</c:f>
              <c:numCache>
                <c:formatCode>0.000</c:formatCode>
                <c:ptCount val="11"/>
                <c:pt idx="0">
                  <c:v>8.2491429559895213</c:v>
                </c:pt>
                <c:pt idx="1">
                  <c:v>7.6614695624463307</c:v>
                </c:pt>
                <c:pt idx="2">
                  <c:v>7.101407733231671</c:v>
                </c:pt>
                <c:pt idx="3">
                  <c:v>6.5713953494517101</c:v>
                </c:pt>
                <c:pt idx="4">
                  <c:v>6.067994501437993</c:v>
                </c:pt>
                <c:pt idx="5">
                  <c:v>5.5919543043256716</c:v>
                </c:pt>
                <c:pt idx="6">
                  <c:v>5.1416892853569065</c:v>
                </c:pt>
                <c:pt idx="7">
                  <c:v>4.7184123839063989</c:v>
                </c:pt>
                <c:pt idx="8">
                  <c:v>4.3222749838210843</c:v>
                </c:pt>
                <c:pt idx="9">
                  <c:v>3.9530518590635109</c:v>
                </c:pt>
                <c:pt idx="10">
                  <c:v>3.6076257930262727</c:v>
                </c:pt>
              </c:numCache>
            </c:numRef>
          </c:val>
        </c:ser>
        <c:ser>
          <c:idx val="3"/>
          <c:order val="3"/>
          <c:tx>
            <c:strRef>
              <c:f>'plots MC'!$F$8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MC'!$G$8:$Q$8</c:f>
              <c:numCache>
                <c:formatCode>0.000</c:formatCode>
                <c:ptCount val="11"/>
                <c:pt idx="0">
                  <c:v>8.9337743891786836</c:v>
                </c:pt>
                <c:pt idx="1">
                  <c:v>8.321828529159335</c:v>
                </c:pt>
                <c:pt idx="2">
                  <c:v>7.7345367911686775</c:v>
                </c:pt>
                <c:pt idx="3">
                  <c:v>7.1746181222340635</c:v>
                </c:pt>
                <c:pt idx="4">
                  <c:v>6.6444742253754248</c:v>
                </c:pt>
                <c:pt idx="5">
                  <c:v>6.14067898174057</c:v>
                </c:pt>
                <c:pt idx="6">
                  <c:v>5.66392522501725</c:v>
                </c:pt>
                <c:pt idx="7">
                  <c:v>5.2126930853871531</c:v>
                </c:pt>
                <c:pt idx="8">
                  <c:v>4.7882396553141255</c:v>
                </c:pt>
                <c:pt idx="9">
                  <c:v>4.3905472177463496</c:v>
                </c:pt>
                <c:pt idx="10">
                  <c:v>4.0196555052153506</c:v>
                </c:pt>
              </c:numCache>
            </c:numRef>
          </c:val>
        </c:ser>
        <c:ser>
          <c:idx val="4"/>
          <c:order val="4"/>
          <c:tx>
            <c:strRef>
              <c:f>'plots MC'!$F$9</c:f>
              <c:strCache>
                <c:ptCount val="1"/>
                <c:pt idx="0">
                  <c:v>99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MC'!$G$9:$Q$9</c:f>
              <c:numCache>
                <c:formatCode>0.000</c:formatCode>
                <c:ptCount val="11"/>
                <c:pt idx="0">
                  <c:v>9.6420332469833685</c:v>
                </c:pt>
                <c:pt idx="1">
                  <c:v>9.0058131674998787</c:v>
                </c:pt>
                <c:pt idx="2">
                  <c:v>8.3945221717312108</c:v>
                </c:pt>
                <c:pt idx="3">
                  <c:v>7.8076061900271538</c:v>
                </c:pt>
                <c:pt idx="4">
                  <c:v>7.2478285112364578</c:v>
                </c:pt>
                <c:pt idx="5">
                  <c:v>6.717556137572207</c:v>
                </c:pt>
                <c:pt idx="6">
                  <c:v>6.2133732429981352</c:v>
                </c:pt>
                <c:pt idx="7">
                  <c:v>5.735910815303618</c:v>
                </c:pt>
                <c:pt idx="8">
                  <c:v>5.283741751919286</c:v>
                </c:pt>
                <c:pt idx="9">
                  <c:v>4.8581251405366386</c:v>
                </c:pt>
                <c:pt idx="10">
                  <c:v>4.4589159971943104</c:v>
                </c:pt>
              </c:numCache>
            </c:numRef>
          </c:val>
        </c:ser>
        <c:ser>
          <c:idx val="5"/>
          <c:order val="5"/>
          <c:tx>
            <c:strRef>
              <c:f>'plots MC'!$F$10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MC'!$G$10:$Q$10</c:f>
              <c:numCache>
                <c:formatCode>0.000</c:formatCode>
                <c:ptCount val="11"/>
                <c:pt idx="0">
                  <c:v>10.37355366804924</c:v>
                </c:pt>
                <c:pt idx="1">
                  <c:v>9.7132838327532607</c:v>
                </c:pt>
                <c:pt idx="2">
                  <c:v>9.077883807982408</c:v>
                </c:pt>
                <c:pt idx="3">
                  <c:v>8.4672250571767673</c:v>
                </c:pt>
                <c:pt idx="4">
                  <c:v>7.8806816230059749</c:v>
                </c:pt>
                <c:pt idx="5">
                  <c:v>7.3210389002388387</c:v>
                </c:pt>
                <c:pt idx="6">
                  <c:v>6.7906394265065071</c:v>
                </c:pt>
                <c:pt idx="7">
                  <c:v>6.2860807885184835</c:v>
                </c:pt>
                <c:pt idx="8">
                  <c:v>5.8079206653807454</c:v>
                </c:pt>
                <c:pt idx="9">
                  <c:v>5.3548494322411866</c:v>
                </c:pt>
                <c:pt idx="10">
                  <c:v>4.9280603750432137</c:v>
                </c:pt>
              </c:numCache>
            </c:numRef>
          </c:val>
        </c:ser>
        <c:ser>
          <c:idx val="6"/>
          <c:order val="6"/>
          <c:tx>
            <c:strRef>
              <c:f>'plots MC'!$F$11</c:f>
              <c:strCache>
                <c:ptCount val="1"/>
                <c:pt idx="0">
                  <c:v>101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MC'!$G$11:$Q$11</c:f>
              <c:numCache>
                <c:formatCode>0.000</c:formatCode>
                <c:ptCount val="11"/>
                <c:pt idx="0">
                  <c:v>11.128778413834434</c:v>
                </c:pt>
                <c:pt idx="1">
                  <c:v>10.44368145049186</c:v>
                </c:pt>
                <c:pt idx="2">
                  <c:v>9.7845786307050595</c:v>
                </c:pt>
                <c:pt idx="3">
                  <c:v>9.1499743871034038</c:v>
                </c:pt>
                <c:pt idx="4">
                  <c:v>8.5399364775776885</c:v>
                </c:pt>
                <c:pt idx="5">
                  <c:v>7.9537599273209603</c:v>
                </c:pt>
                <c:pt idx="6">
                  <c:v>7.3942492892412321</c:v>
                </c:pt>
                <c:pt idx="7">
                  <c:v>6.8637232081643731</c:v>
                </c:pt>
                <c:pt idx="8">
                  <c:v>6.358793939589189</c:v>
                </c:pt>
                <c:pt idx="9">
                  <c:v>5.8799510633236673</c:v>
                </c:pt>
                <c:pt idx="10">
                  <c:v>5.4260080496385177</c:v>
                </c:pt>
              </c:numCache>
            </c:numRef>
          </c:val>
        </c:ser>
        <c:ser>
          <c:idx val="7"/>
          <c:order val="7"/>
          <c:tx>
            <c:strRef>
              <c:f>'plots MC'!$F$12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MC'!$G$12:$Q$12</c:f>
              <c:numCache>
                <c:formatCode>0.000</c:formatCode>
                <c:ptCount val="11"/>
                <c:pt idx="0">
                  <c:v>11.906268614851466</c:v>
                </c:pt>
                <c:pt idx="1">
                  <c:v>11.197584809226461</c:v>
                </c:pt>
                <c:pt idx="2">
                  <c:v>10.51387249317524</c:v>
                </c:pt>
                <c:pt idx="3">
                  <c:v>9.855903255929805</c:v>
                </c:pt>
                <c:pt idx="4">
                  <c:v>9.2220923237693473</c:v>
                </c:pt>
                <c:pt idx="5">
                  <c:v>8.6126538588338466</c:v>
                </c:pt>
                <c:pt idx="6">
                  <c:v>8.0268414083127766</c:v>
                </c:pt>
                <c:pt idx="7">
                  <c:v>7.4674596782436184</c:v>
                </c:pt>
                <c:pt idx="8">
                  <c:v>6.9368081789558911</c:v>
                </c:pt>
                <c:pt idx="9">
                  <c:v>6.4315138111076191</c:v>
                </c:pt>
                <c:pt idx="10">
                  <c:v>5.9520029986738194</c:v>
                </c:pt>
              </c:numCache>
            </c:numRef>
          </c:val>
        </c:ser>
        <c:ser>
          <c:idx val="8"/>
          <c:order val="8"/>
          <c:tx>
            <c:strRef>
              <c:f>'plots MC'!$F$13</c:f>
              <c:strCache>
                <c:ptCount val="1"/>
                <c:pt idx="0">
                  <c:v>103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MC'!$G$13:$Q$13</c:f>
              <c:numCache>
                <c:formatCode>0.000</c:formatCode>
                <c:ptCount val="11"/>
                <c:pt idx="0">
                  <c:v>12.702883476039215</c:v>
                </c:pt>
                <c:pt idx="1">
                  <c:v>11.973572856096965</c:v>
                </c:pt>
                <c:pt idx="2">
                  <c:v>11.266456220249365</c:v>
                </c:pt>
                <c:pt idx="3">
                  <c:v>10.584113295829685</c:v>
                </c:pt>
                <c:pt idx="4">
                  <c:v>9.9272495408458212</c:v>
                </c:pt>
                <c:pt idx="5">
                  <c:v>9.294236949044258</c:v>
                </c:pt>
                <c:pt idx="6">
                  <c:v>8.6853822718496652</c:v>
                </c:pt>
                <c:pt idx="7">
                  <c:v>8.0999258462727912</c:v>
                </c:pt>
                <c:pt idx="8">
                  <c:v>7.5406700672459719</c:v>
                </c:pt>
                <c:pt idx="9">
                  <c:v>7.0098961045300809</c:v>
                </c:pt>
                <c:pt idx="10">
                  <c:v>6.504241130139774</c:v>
                </c:pt>
              </c:numCache>
            </c:numRef>
          </c:val>
        </c:ser>
        <c:ser>
          <c:idx val="9"/>
          <c:order val="9"/>
          <c:tx>
            <c:strRef>
              <c:f>'plots MC'!$F$14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MC'!$G$14:$Q$14</c:f>
              <c:numCache>
                <c:formatCode>0.000</c:formatCode>
                <c:ptCount val="11"/>
                <c:pt idx="0">
                  <c:v>13.516980263075183</c:v>
                </c:pt>
                <c:pt idx="1">
                  <c:v>12.768825996345345</c:v>
                </c:pt>
                <c:pt idx="2">
                  <c:v>12.040976728902125</c:v>
                </c:pt>
                <c:pt idx="3">
                  <c:v>11.335389837977118</c:v>
                </c:pt>
                <c:pt idx="4">
                  <c:v>10.654392280822762</c:v>
                </c:pt>
                <c:pt idx="5">
                  <c:v>9.998622729080024</c:v>
                </c:pt>
                <c:pt idx="6">
                  <c:v>9.3664080068294968</c:v>
                </c:pt>
                <c:pt idx="7">
                  <c:v>8.7581155348920614</c:v>
                </c:pt>
                <c:pt idx="8">
                  <c:v>8.1730118018183404</c:v>
                </c:pt>
                <c:pt idx="9">
                  <c:v>7.6138804562483831</c:v>
                </c:pt>
                <c:pt idx="10">
                  <c:v>7.0829863988511379</c:v>
                </c:pt>
              </c:numCache>
            </c:numRef>
          </c:val>
        </c:ser>
        <c:ser>
          <c:idx val="10"/>
          <c:order val="10"/>
          <c:tx>
            <c:strRef>
              <c:f>'plots MC'!$F$15</c:f>
              <c:strCache>
                <c:ptCount val="1"/>
                <c:pt idx="0">
                  <c:v>105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MC'!$G$15:$Q$15</c:f>
              <c:numCache>
                <c:formatCode>0.000</c:formatCode>
                <c:ptCount val="11"/>
                <c:pt idx="0">
                  <c:v>14.350109166773219</c:v>
                </c:pt>
                <c:pt idx="1">
                  <c:v>13.581325187083307</c:v>
                </c:pt>
                <c:pt idx="2">
                  <c:v>12.834885413864448</c:v>
                </c:pt>
                <c:pt idx="3">
                  <c:v>12.108485194028523</c:v>
                </c:pt>
                <c:pt idx="4">
                  <c:v>11.404389412110048</c:v>
                </c:pt>
                <c:pt idx="5">
                  <c:v>10.724726714008634</c:v>
                </c:pt>
                <c:pt idx="6">
                  <c:v>10.070027786879683</c:v>
                </c:pt>
                <c:pt idx="7">
                  <c:v>9.4385911972141763</c:v>
                </c:pt>
                <c:pt idx="8">
                  <c:v>8.8308552831508074</c:v>
                </c:pt>
                <c:pt idx="9">
                  <c:v>8.2460989787777645</c:v>
                </c:pt>
                <c:pt idx="10">
                  <c:v>7.6870908452507791</c:v>
                </c:pt>
              </c:numCache>
            </c:numRef>
          </c:val>
        </c:ser>
        <c:bandFmts/>
        <c:axId val="280287872"/>
        <c:axId val="280293760"/>
        <c:axId val="280301568"/>
      </c:surface3DChart>
      <c:catAx>
        <c:axId val="280287872"/>
        <c:scaling>
          <c:orientation val="minMax"/>
        </c:scaling>
        <c:axPos val="b"/>
        <c:numFmt formatCode="General" sourceLinked="1"/>
        <c:tickLblPos val="nextTo"/>
        <c:crossAx val="280293760"/>
        <c:crosses val="autoZero"/>
        <c:auto val="1"/>
        <c:lblAlgn val="ctr"/>
        <c:lblOffset val="100"/>
      </c:catAx>
      <c:valAx>
        <c:axId val="280293760"/>
        <c:scaling>
          <c:orientation val="minMax"/>
        </c:scaling>
        <c:axPos val="r"/>
        <c:majorGridlines/>
        <c:numFmt formatCode="0.000" sourceLinked="1"/>
        <c:tickLblPos val="nextTo"/>
        <c:crossAx val="280287872"/>
        <c:crosses val="autoZero"/>
        <c:crossBetween val="midCat"/>
      </c:valAx>
      <c:serAx>
        <c:axId val="280301568"/>
        <c:scaling>
          <c:orientation val="minMax"/>
        </c:scaling>
        <c:axPos val="b"/>
        <c:tickLblPos val="nextTo"/>
        <c:crossAx val="280293760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MC'!$F$20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MC'!$G$20:$Q$20</c:f>
              <c:numCache>
                <c:formatCode>General</c:formatCode>
                <c:ptCount val="11"/>
                <c:pt idx="0">
                  <c:v>0</c:v>
                </c:pt>
                <c:pt idx="1">
                  <c:v>1.6716865338933417E-2</c:v>
                </c:pt>
                <c:pt idx="2">
                  <c:v>0.14756083690730451</c:v>
                </c:pt>
                <c:pt idx="3">
                  <c:v>0.63978885973883992</c:v>
                </c:pt>
                <c:pt idx="4">
                  <c:v>1.2228786969885563</c:v>
                </c:pt>
                <c:pt idx="5">
                  <c:v>1.8334908821958471</c:v>
                </c:pt>
                <c:pt idx="6">
                  <c:v>2.4434876496664986</c:v>
                </c:pt>
                <c:pt idx="7">
                  <c:v>3.0449499544089007</c:v>
                </c:pt>
                <c:pt idx="8">
                  <c:v>3.6372363054501626</c:v>
                </c:pt>
                <c:pt idx="9">
                  <c:v>4.2197902568961387</c:v>
                </c:pt>
                <c:pt idx="10">
                  <c:v>4.7929593408468936</c:v>
                </c:pt>
              </c:numCache>
            </c:numRef>
          </c:val>
        </c:ser>
        <c:ser>
          <c:idx val="1"/>
          <c:order val="1"/>
          <c:tx>
            <c:strRef>
              <c:f>'plots MC'!$F$21</c:f>
              <c:strCache>
                <c:ptCount val="1"/>
                <c:pt idx="0">
                  <c:v>92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MC'!$G$21:$Q$21</c:f>
              <c:numCache>
                <c:formatCode>General</c:formatCode>
                <c:ptCount val="11"/>
                <c:pt idx="0">
                  <c:v>0</c:v>
                </c:pt>
                <c:pt idx="1">
                  <c:v>6.8222297240285071E-2</c:v>
                </c:pt>
                <c:pt idx="2">
                  <c:v>0.34304585165252388</c:v>
                </c:pt>
                <c:pt idx="3">
                  <c:v>1.0746233756808328</c:v>
                </c:pt>
                <c:pt idx="4">
                  <c:v>1.8300635594620676</c:v>
                </c:pt>
                <c:pt idx="5">
                  <c:v>2.5675585724064987</c:v>
                </c:pt>
                <c:pt idx="6">
                  <c:v>3.2817114715153743</c:v>
                </c:pt>
                <c:pt idx="7">
                  <c:v>3.9741883568169207</c:v>
                </c:pt>
                <c:pt idx="8">
                  <c:v>4.647238507743479</c:v>
                </c:pt>
                <c:pt idx="9">
                  <c:v>5.3015413686392243</c:v>
                </c:pt>
                <c:pt idx="10">
                  <c:v>5.9393305673111554</c:v>
                </c:pt>
              </c:numCache>
            </c:numRef>
          </c:val>
        </c:ser>
        <c:ser>
          <c:idx val="2"/>
          <c:order val="2"/>
          <c:tx>
            <c:strRef>
              <c:f>'plots MC'!$F$22</c:f>
              <c:strCache>
                <c:ptCount val="1"/>
                <c:pt idx="0">
                  <c:v>94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MC'!$G$22:$Q$22</c:f>
              <c:numCache>
                <c:formatCode>General</c:formatCode>
                <c:ptCount val="11"/>
                <c:pt idx="0">
                  <c:v>7.7038529779450483E-4</c:v>
                </c:pt>
                <c:pt idx="1">
                  <c:v>0.20264354710677016</c:v>
                </c:pt>
                <c:pt idx="2">
                  <c:v>0.66298861784376184</c:v>
                </c:pt>
                <c:pt idx="3">
                  <c:v>1.6113512681051607</c:v>
                </c:pt>
                <c:pt idx="4">
                  <c:v>2.4983906065785897</c:v>
                </c:pt>
                <c:pt idx="5">
                  <c:v>3.329795887573535</c:v>
                </c:pt>
                <c:pt idx="6">
                  <c:v>4.1167015803501723</c:v>
                </c:pt>
                <c:pt idx="7">
                  <c:v>4.8665160517738055</c:v>
                </c:pt>
                <c:pt idx="8">
                  <c:v>5.5858117421863787</c:v>
                </c:pt>
                <c:pt idx="9">
                  <c:v>6.2799982187049332</c:v>
                </c:pt>
                <c:pt idx="10">
                  <c:v>6.9520458833458774</c:v>
                </c:pt>
              </c:numCache>
            </c:numRef>
          </c:val>
        </c:ser>
        <c:ser>
          <c:idx val="3"/>
          <c:order val="3"/>
          <c:tx>
            <c:strRef>
              <c:f>'plots MC'!$F$23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MC'!$G$23:$Q$23</c:f>
              <c:numCache>
                <c:formatCode>General</c:formatCode>
                <c:ptCount val="11"/>
                <c:pt idx="0">
                  <c:v>1.7989714247817559E-2</c:v>
                </c:pt>
                <c:pt idx="1">
                  <c:v>0.50716456805991406</c:v>
                </c:pt>
                <c:pt idx="2">
                  <c:v>1.1671651095686357</c:v>
                </c:pt>
                <c:pt idx="3">
                  <c:v>2.3167379187458605</c:v>
                </c:pt>
                <c:pt idx="4">
                  <c:v>3.3182269921889622</c:v>
                </c:pt>
                <c:pt idx="5">
                  <c:v>4.2255873626821669</c:v>
                </c:pt>
                <c:pt idx="6">
                  <c:v>5.0684127773983159</c:v>
                </c:pt>
                <c:pt idx="7">
                  <c:v>5.863134579708225</c:v>
                </c:pt>
                <c:pt idx="8">
                  <c:v>6.6202853078587784</c:v>
                </c:pt>
                <c:pt idx="9">
                  <c:v>7.3478720474612507</c:v>
                </c:pt>
                <c:pt idx="10">
                  <c:v>8.0506663695107985</c:v>
                </c:pt>
              </c:numCache>
            </c:numRef>
          </c:val>
        </c:ser>
        <c:ser>
          <c:idx val="4"/>
          <c:order val="4"/>
          <c:tx>
            <c:strRef>
              <c:f>'plots MC'!$F$24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MC'!$G$24:$Q$24</c:f>
              <c:numCache>
                <c:formatCode>General</c:formatCode>
                <c:ptCount val="11"/>
                <c:pt idx="0">
                  <c:v>0.17991197863316122</c:v>
                </c:pt>
                <c:pt idx="1">
                  <c:v>1.0734701754178226</c:v>
                </c:pt>
                <c:pt idx="2">
                  <c:v>1.9039118940265376</c:v>
                </c:pt>
                <c:pt idx="3">
                  <c:v>3.2035065841026844</c:v>
                </c:pt>
                <c:pt idx="4">
                  <c:v>4.2833276347082938</c:v>
                </c:pt>
                <c:pt idx="5">
                  <c:v>5.2462595920421506</c:v>
                </c:pt>
                <c:pt idx="6">
                  <c:v>6.1335175407356548</c:v>
                </c:pt>
                <c:pt idx="7">
                  <c:v>6.9660718738183363</c:v>
                </c:pt>
                <c:pt idx="8">
                  <c:v>7.7568479835790578</c:v>
                </c:pt>
                <c:pt idx="9">
                  <c:v>8.5139009927820144</c:v>
                </c:pt>
                <c:pt idx="10">
                  <c:v>9.2429482217010968</c:v>
                </c:pt>
              </c:numCache>
            </c:numRef>
          </c:val>
        </c:ser>
        <c:ser>
          <c:idx val="5"/>
          <c:order val="5"/>
          <c:tx>
            <c:strRef>
              <c:f>'plots MC'!$F$25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MC'!$G$25:$Q$25</c:f>
              <c:numCache>
                <c:formatCode>General</c:formatCode>
                <c:ptCount val="11"/>
                <c:pt idx="0">
                  <c:v>0.84690644074720256</c:v>
                </c:pt>
                <c:pt idx="1">
                  <c:v>1.9793173380081905</c:v>
                </c:pt>
                <c:pt idx="2">
                  <c:v>2.8902339875198426</c:v>
                </c:pt>
                <c:pt idx="3">
                  <c:v>4.269699781743526</c:v>
                </c:pt>
                <c:pt idx="4">
                  <c:v>5.4004821322844618</c:v>
                </c:pt>
                <c:pt idx="5">
                  <c:v>6.4019830767137007</c:v>
                </c:pt>
                <c:pt idx="6">
                  <c:v>7.3205687133017241</c:v>
                </c:pt>
                <c:pt idx="7">
                  <c:v>8.1799975193152221</c:v>
                </c:pt>
                <c:pt idx="8">
                  <c:v>8.9941749362143781</c:v>
                </c:pt>
                <c:pt idx="9">
                  <c:v>9.7721887131388048</c:v>
                </c:pt>
                <c:pt idx="10">
                  <c:v>10.520465872798926</c:v>
                </c:pt>
              </c:numCache>
            </c:numRef>
          </c:val>
        </c:ser>
        <c:ser>
          <c:idx val="6"/>
          <c:order val="6"/>
          <c:tx>
            <c:strRef>
              <c:f>'plots MC'!$F$26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MC'!$G$26:$Q$26</c:f>
              <c:numCache>
                <c:formatCode>General</c:formatCode>
                <c:ptCount val="11"/>
                <c:pt idx="0">
                  <c:v>2.2538779711233099</c:v>
                </c:pt>
                <c:pt idx="1">
                  <c:v>3.2397030464108689</c:v>
                </c:pt>
                <c:pt idx="2">
                  <c:v>4.1310159823946178</c:v>
                </c:pt>
                <c:pt idx="3">
                  <c:v>5.5167828365009326</c:v>
                </c:pt>
                <c:pt idx="4">
                  <c:v>6.6634394271744579</c:v>
                </c:pt>
                <c:pt idx="5">
                  <c:v>7.6819392170092939</c:v>
                </c:pt>
                <c:pt idx="6">
                  <c:v>8.6171354144543315</c:v>
                </c:pt>
                <c:pt idx="7">
                  <c:v>9.4923844388151331</c:v>
                </c:pt>
                <c:pt idx="8">
                  <c:v>10.321661396009356</c:v>
                </c:pt>
                <c:pt idx="9">
                  <c:v>11.114114009605338</c:v>
                </c:pt>
                <c:pt idx="10">
                  <c:v>11.876141240369376</c:v>
                </c:pt>
              </c:numCache>
            </c:numRef>
          </c:val>
        </c:ser>
        <c:ser>
          <c:idx val="7"/>
          <c:order val="7"/>
          <c:tx>
            <c:strRef>
              <c:f>'plots MC'!$F$27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MC'!$G$27:$Q$27</c:f>
              <c:numCache>
                <c:formatCode>General</c:formatCode>
                <c:ptCount val="11"/>
                <c:pt idx="0">
                  <c:v>4.1084002792414678</c:v>
                </c:pt>
                <c:pt idx="1">
                  <c:v>4.7935065701674011</c:v>
                </c:pt>
                <c:pt idx="2">
                  <c:v>5.5909843855437149</c:v>
                </c:pt>
                <c:pt idx="3">
                  <c:v>6.9220485342733458</c:v>
                </c:pt>
                <c:pt idx="4">
                  <c:v>8.0560694042015975</c:v>
                </c:pt>
                <c:pt idx="5">
                  <c:v>9.0735453268097483</c:v>
                </c:pt>
                <c:pt idx="6">
                  <c:v>10.012852454352576</c:v>
                </c:pt>
                <c:pt idx="7">
                  <c:v>10.894539213211374</c:v>
                </c:pt>
                <c:pt idx="8">
                  <c:v>11.731519367143939</c:v>
                </c:pt>
                <c:pt idx="9">
                  <c:v>12.532373804171712</c:v>
                </c:pt>
                <c:pt idx="10">
                  <c:v>13.303144809212018</c:v>
                </c:pt>
              </c:numCache>
            </c:numRef>
          </c:val>
        </c:ser>
        <c:ser>
          <c:idx val="8"/>
          <c:order val="8"/>
          <c:tx>
            <c:strRef>
              <c:f>'plots MC'!$F$28</c:f>
              <c:strCache>
                <c:ptCount val="1"/>
                <c:pt idx="0">
                  <c:v>106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MC'!$G$28:$Q$28</c:f>
              <c:numCache>
                <c:formatCode>General</c:formatCode>
                <c:ptCount val="11"/>
                <c:pt idx="0">
                  <c:v>6.0917069158369301</c:v>
                </c:pt>
                <c:pt idx="1">
                  <c:v>6.5555103505681549</c:v>
                </c:pt>
                <c:pt idx="2">
                  <c:v>7.2291332270734623</c:v>
                </c:pt>
                <c:pt idx="3">
                  <c:v>8.46521408682875</c:v>
                </c:pt>
                <c:pt idx="4">
                  <c:v>9.5633803172430962</c:v>
                </c:pt>
                <c:pt idx="5">
                  <c:v>10.565909290698086</c:v>
                </c:pt>
                <c:pt idx="6">
                  <c:v>11.49881093106149</c:v>
                </c:pt>
                <c:pt idx="7">
                  <c:v>12.379130890726056</c:v>
                </c:pt>
                <c:pt idx="8">
                  <c:v>13.217859892821286</c:v>
                </c:pt>
                <c:pt idx="9">
                  <c:v>14.022140279229006</c:v>
                </c:pt>
                <c:pt idx="10">
                  <c:v>14.797500998550685</c:v>
                </c:pt>
              </c:numCache>
            </c:numRef>
          </c:val>
        </c:ser>
        <c:ser>
          <c:idx val="9"/>
          <c:order val="9"/>
          <c:tx>
            <c:strRef>
              <c:f>'plots MC'!$F$29</c:f>
              <c:strCache>
                <c:ptCount val="1"/>
                <c:pt idx="0">
                  <c:v>108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MC'!$G$29:$Q$29</c:f>
              <c:numCache>
                <c:formatCode>General</c:formatCode>
                <c:ptCount val="11"/>
                <c:pt idx="0">
                  <c:v>8.0916882292093124</c:v>
                </c:pt>
                <c:pt idx="1">
                  <c:v>8.4423799949035843</c:v>
                </c:pt>
                <c:pt idx="2">
                  <c:v>9.0002234167922737</c:v>
                </c:pt>
                <c:pt idx="3">
                  <c:v>10.124204502903401</c:v>
                </c:pt>
                <c:pt idx="4">
                  <c:v>11.171925368019846</c:v>
                </c:pt>
                <c:pt idx="5">
                  <c:v>12.147689967909207</c:v>
                </c:pt>
                <c:pt idx="6">
                  <c:v>13.066364752410252</c:v>
                </c:pt>
                <c:pt idx="7">
                  <c:v>13.938923085481344</c:v>
                </c:pt>
                <c:pt idx="8">
                  <c:v>14.773747950474696</c:v>
                </c:pt>
                <c:pt idx="9">
                  <c:v>15.576726469220047</c:v>
                </c:pt>
                <c:pt idx="10">
                  <c:v>16.352521376574053</c:v>
                </c:pt>
              </c:numCache>
            </c:numRef>
          </c:val>
        </c:ser>
        <c:ser>
          <c:idx val="10"/>
          <c:order val="10"/>
          <c:tx>
            <c:strRef>
              <c:f>'plots MC'!$F$30</c:f>
              <c:strCache>
                <c:ptCount val="1"/>
                <c:pt idx="0">
                  <c:v>110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MC'!$G$30:$Q$30</c:f>
              <c:numCache>
                <c:formatCode>General</c:formatCode>
                <c:ptCount val="11"/>
                <c:pt idx="0">
                  <c:v>10.092275381535405</c:v>
                </c:pt>
                <c:pt idx="1">
                  <c:v>10.395377974968559</c:v>
                </c:pt>
                <c:pt idx="2">
                  <c:v>10.861476607161402</c:v>
                </c:pt>
                <c:pt idx="3">
                  <c:v>11.87807830843489</c:v>
                </c:pt>
                <c:pt idx="4">
                  <c:v>12.866402934163586</c:v>
                </c:pt>
                <c:pt idx="5">
                  <c:v>13.808439527246659</c:v>
                </c:pt>
                <c:pt idx="6">
                  <c:v>14.706159529937795</c:v>
                </c:pt>
                <c:pt idx="7">
                  <c:v>15.565144422256994</c:v>
                </c:pt>
                <c:pt idx="8">
                  <c:v>16.391740855851438</c:v>
                </c:pt>
                <c:pt idx="9">
                  <c:v>17.189630568072989</c:v>
                </c:pt>
                <c:pt idx="10">
                  <c:v>17.962636066418934</c:v>
                </c:pt>
              </c:numCache>
            </c:numRef>
          </c:val>
        </c:ser>
        <c:bandFmts/>
        <c:axId val="280372352"/>
        <c:axId val="280373888"/>
        <c:axId val="280357504"/>
      </c:surface3DChart>
      <c:catAx>
        <c:axId val="280372352"/>
        <c:scaling>
          <c:orientation val="minMax"/>
        </c:scaling>
        <c:axPos val="b"/>
        <c:numFmt formatCode="General" sourceLinked="1"/>
        <c:tickLblPos val="nextTo"/>
        <c:crossAx val="280373888"/>
        <c:crosses val="autoZero"/>
        <c:auto val="1"/>
        <c:lblAlgn val="ctr"/>
        <c:lblOffset val="100"/>
      </c:catAx>
      <c:valAx>
        <c:axId val="280373888"/>
        <c:scaling>
          <c:orientation val="minMax"/>
        </c:scaling>
        <c:axPos val="r"/>
        <c:majorGridlines/>
        <c:numFmt formatCode="General" sourceLinked="1"/>
        <c:tickLblPos val="nextTo"/>
        <c:crossAx val="280372352"/>
        <c:crosses val="autoZero"/>
        <c:crossBetween val="midCat"/>
      </c:valAx>
      <c:serAx>
        <c:axId val="280357504"/>
        <c:scaling>
          <c:orientation val="minMax"/>
        </c:scaling>
        <c:axPos val="b"/>
        <c:tickLblPos val="nextTo"/>
        <c:crossAx val="280373888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</xdr:row>
      <xdr:rowOff>47625</xdr:rowOff>
    </xdr:from>
    <xdr:to>
      <xdr:col>21</xdr:col>
      <xdr:colOff>190500</xdr:colOff>
      <xdr:row>16</xdr:row>
      <xdr:rowOff>76200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657224</xdr:colOff>
      <xdr:row>2</xdr:row>
      <xdr:rowOff>66675</xdr:rowOff>
    </xdr:from>
    <xdr:to>
      <xdr:col>25</xdr:col>
      <xdr:colOff>219075</xdr:colOff>
      <xdr:row>16</xdr:row>
      <xdr:rowOff>152401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18</xdr:row>
      <xdr:rowOff>95250</xdr:rowOff>
    </xdr:from>
    <xdr:to>
      <xdr:col>25</xdr:col>
      <xdr:colOff>285751</xdr:colOff>
      <xdr:row>33</xdr:row>
      <xdr:rowOff>1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657224</xdr:colOff>
      <xdr:row>2</xdr:row>
      <xdr:rowOff>66675</xdr:rowOff>
    </xdr:from>
    <xdr:to>
      <xdr:col>25</xdr:col>
      <xdr:colOff>219075</xdr:colOff>
      <xdr:row>16</xdr:row>
      <xdr:rowOff>152401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18</xdr:row>
      <xdr:rowOff>95250</xdr:rowOff>
    </xdr:from>
    <xdr:to>
      <xdr:col>25</xdr:col>
      <xdr:colOff>285751</xdr:colOff>
      <xdr:row>33</xdr:row>
      <xdr:rowOff>1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3"/>
  <dimension ref="A2:F106"/>
  <sheetViews>
    <sheetView tabSelected="1" workbookViewId="0">
      <selection activeCell="H2" sqref="H2"/>
    </sheetView>
  </sheetViews>
  <sheetFormatPr defaultRowHeight="14.25"/>
  <cols>
    <col min="3" max="3" width="10.125" customWidth="1"/>
    <col min="4" max="4" width="9.25" customWidth="1"/>
    <col min="6" max="6" width="12" customWidth="1"/>
  </cols>
  <sheetData>
    <row r="2" spans="1:6">
      <c r="A2" s="10" t="s">
        <v>6</v>
      </c>
      <c r="B2" s="13"/>
      <c r="C2" s="13"/>
      <c r="D2" s="13"/>
      <c r="E2" s="13"/>
      <c r="F2" s="14"/>
    </row>
    <row r="4" spans="1:6" ht="51">
      <c r="C4" s="23" t="s">
        <v>7</v>
      </c>
      <c r="D4" s="23" t="s">
        <v>8</v>
      </c>
    </row>
    <row r="5" spans="1:6">
      <c r="B5">
        <v>1</v>
      </c>
      <c r="C5" s="17">
        <f>MCOptionValue(1,95,100,0.06,0,0.5,0.2,10000)</f>
        <v>4.5131994568560065</v>
      </c>
      <c r="D5" s="17">
        <f>MCOptionValueAV(1,95,100,0.06,0,0.5,0.2,10000)</f>
        <v>4.4790550712535966</v>
      </c>
    </row>
    <row r="6" spans="1:6">
      <c r="B6">
        <v>2</v>
      </c>
      <c r="C6" s="17">
        <f t="shared" ref="C6:C69" si="0">MCOptionValue(1,95,100,0.06,0,0.5,0.2,10000)</f>
        <v>4.5646500080130989</v>
      </c>
      <c r="D6" s="17">
        <f t="shared" ref="D6:D69" si="1">MCOptionValueAV(1,95,100,0.06,0,0.5,0.2,10000)</f>
        <v>4.399916575058203</v>
      </c>
    </row>
    <row r="7" spans="1:6">
      <c r="B7">
        <v>3</v>
      </c>
      <c r="C7" s="17">
        <f t="shared" si="0"/>
        <v>4.3784932291383765</v>
      </c>
      <c r="D7" s="17">
        <f t="shared" si="1"/>
        <v>4.4892971772242305</v>
      </c>
    </row>
    <row r="8" spans="1:6">
      <c r="B8">
        <v>4</v>
      </c>
      <c r="C8" s="17">
        <f t="shared" si="0"/>
        <v>4.5206099356976894</v>
      </c>
      <c r="D8" s="17">
        <f t="shared" si="1"/>
        <v>4.4306121807815</v>
      </c>
    </row>
    <row r="9" spans="1:6">
      <c r="B9">
        <v>5</v>
      </c>
      <c r="C9" s="17">
        <f t="shared" si="0"/>
        <v>4.4404852249569942</v>
      </c>
      <c r="D9" s="17">
        <f t="shared" si="1"/>
        <v>4.3477732389568651</v>
      </c>
    </row>
    <row r="10" spans="1:6">
      <c r="B10">
        <v>6</v>
      </c>
      <c r="C10" s="17">
        <f t="shared" si="0"/>
        <v>4.353248306304959</v>
      </c>
      <c r="D10" s="17">
        <f t="shared" si="1"/>
        <v>4.4684935204156044</v>
      </c>
    </row>
    <row r="11" spans="1:6">
      <c r="B11">
        <v>7</v>
      </c>
      <c r="C11" s="17">
        <f t="shared" si="0"/>
        <v>4.4482954099325651</v>
      </c>
      <c r="D11" s="17">
        <f t="shared" si="1"/>
        <v>4.4933469636582268</v>
      </c>
    </row>
    <row r="12" spans="1:6">
      <c r="B12">
        <v>8</v>
      </c>
      <c r="C12" s="17">
        <f t="shared" si="0"/>
        <v>4.5677306294778619</v>
      </c>
      <c r="D12" s="17">
        <f t="shared" si="1"/>
        <v>4.4373331708158368</v>
      </c>
    </row>
    <row r="13" spans="1:6">
      <c r="B13">
        <v>9</v>
      </c>
      <c r="C13" s="17">
        <f t="shared" si="0"/>
        <v>4.5264575043218729</v>
      </c>
      <c r="D13" s="17">
        <f t="shared" si="1"/>
        <v>4.4149362087817705</v>
      </c>
    </row>
    <row r="14" spans="1:6">
      <c r="B14">
        <v>10</v>
      </c>
      <c r="C14" s="17">
        <f t="shared" si="0"/>
        <v>4.4941116035831019</v>
      </c>
      <c r="D14" s="17">
        <f t="shared" si="1"/>
        <v>4.3841458216407947</v>
      </c>
    </row>
    <row r="15" spans="1:6">
      <c r="B15">
        <v>11</v>
      </c>
      <c r="C15" s="17">
        <f t="shared" si="0"/>
        <v>4.5506829828861042</v>
      </c>
      <c r="D15" s="17">
        <f t="shared" si="1"/>
        <v>4.6043108353953928</v>
      </c>
    </row>
    <row r="16" spans="1:6">
      <c r="B16">
        <v>12</v>
      </c>
      <c r="C16" s="17">
        <f t="shared" si="0"/>
        <v>4.5501097642693287</v>
      </c>
      <c r="D16" s="17">
        <f t="shared" si="1"/>
        <v>4.4892963660706942</v>
      </c>
    </row>
    <row r="17" spans="2:4">
      <c r="B17">
        <v>13</v>
      </c>
      <c r="C17" s="17">
        <f t="shared" si="0"/>
        <v>4.329546291052619</v>
      </c>
      <c r="D17" s="17">
        <f t="shared" si="1"/>
        <v>4.5008736844760655</v>
      </c>
    </row>
    <row r="18" spans="2:4">
      <c r="B18">
        <v>14</v>
      </c>
      <c r="C18" s="17">
        <f t="shared" si="0"/>
        <v>4.5387840308370393</v>
      </c>
      <c r="D18" s="17">
        <f t="shared" si="1"/>
        <v>4.4944426809839841</v>
      </c>
    </row>
    <row r="19" spans="2:4">
      <c r="B19">
        <v>15</v>
      </c>
      <c r="C19" s="17">
        <f t="shared" si="0"/>
        <v>4.3357021820744155</v>
      </c>
      <c r="D19" s="17">
        <f t="shared" si="1"/>
        <v>4.4564859358390176</v>
      </c>
    </row>
    <row r="20" spans="2:4">
      <c r="B20">
        <v>16</v>
      </c>
      <c r="C20" s="17">
        <f t="shared" si="0"/>
        <v>4.5038677705217207</v>
      </c>
      <c r="D20" s="17">
        <f t="shared" si="1"/>
        <v>4.4670159984459694</v>
      </c>
    </row>
    <row r="21" spans="2:4">
      <c r="B21">
        <v>17</v>
      </c>
      <c r="C21" s="17">
        <f t="shared" si="0"/>
        <v>4.4604591828011264</v>
      </c>
      <c r="D21" s="17">
        <f>MCOptionValueAV(1,95,100,0.06,0,0.5,0.2,10000)</f>
        <v>4.4468873580472295</v>
      </c>
    </row>
    <row r="22" spans="2:4">
      <c r="B22">
        <v>18</v>
      </c>
      <c r="C22" s="17">
        <f t="shared" si="0"/>
        <v>4.40182460256987</v>
      </c>
      <c r="D22" s="17">
        <f t="shared" si="1"/>
        <v>4.4542295219118655</v>
      </c>
    </row>
    <row r="23" spans="2:4">
      <c r="B23">
        <v>19</v>
      </c>
      <c r="C23" s="17">
        <f t="shared" si="0"/>
        <v>4.4065510947854793</v>
      </c>
      <c r="D23" s="17">
        <f t="shared" si="1"/>
        <v>4.4184287707624801</v>
      </c>
    </row>
    <row r="24" spans="2:4">
      <c r="B24">
        <v>20</v>
      </c>
      <c r="C24" s="17">
        <f t="shared" si="0"/>
        <v>4.4124912739138225</v>
      </c>
      <c r="D24" s="17">
        <f t="shared" si="1"/>
        <v>4.395303465050719</v>
      </c>
    </row>
    <row r="25" spans="2:4">
      <c r="B25">
        <v>21</v>
      </c>
      <c r="C25" s="17">
        <f t="shared" si="0"/>
        <v>4.4134643814656291</v>
      </c>
      <c r="D25" s="17">
        <f t="shared" si="1"/>
        <v>4.4459491775751889</v>
      </c>
    </row>
    <row r="26" spans="2:4">
      <c r="B26">
        <v>22</v>
      </c>
      <c r="C26" s="17">
        <f t="shared" si="0"/>
        <v>4.3861647969231115</v>
      </c>
      <c r="D26" s="17">
        <f t="shared" si="1"/>
        <v>4.4987704872248111</v>
      </c>
    </row>
    <row r="27" spans="2:4">
      <c r="B27">
        <v>23</v>
      </c>
      <c r="C27" s="17">
        <f t="shared" si="0"/>
        <v>4.3048590630473491</v>
      </c>
      <c r="D27" s="17">
        <f t="shared" si="1"/>
        <v>4.4431547131558142</v>
      </c>
    </row>
    <row r="28" spans="2:4">
      <c r="B28">
        <v>24</v>
      </c>
      <c r="C28" s="17">
        <f t="shared" si="0"/>
        <v>4.4392807536757477</v>
      </c>
      <c r="D28" s="17">
        <f t="shared" si="1"/>
        <v>4.4692131927498817</v>
      </c>
    </row>
    <row r="29" spans="2:4">
      <c r="B29">
        <v>25</v>
      </c>
      <c r="C29" s="17">
        <f t="shared" si="0"/>
        <v>4.345112890299605</v>
      </c>
      <c r="D29" s="17">
        <f t="shared" si="1"/>
        <v>4.4603831248645616</v>
      </c>
    </row>
    <row r="30" spans="2:4">
      <c r="B30">
        <v>26</v>
      </c>
      <c r="C30" s="17">
        <f t="shared" si="0"/>
        <v>4.4820770110758978</v>
      </c>
      <c r="D30" s="17">
        <f t="shared" si="1"/>
        <v>4.4753983931854524</v>
      </c>
    </row>
    <row r="31" spans="2:4">
      <c r="B31">
        <v>27</v>
      </c>
      <c r="C31" s="17">
        <f t="shared" si="0"/>
        <v>4.4719409323128119</v>
      </c>
      <c r="D31" s="17">
        <f t="shared" si="1"/>
        <v>4.4633059537925712</v>
      </c>
    </row>
    <row r="32" spans="2:4">
      <c r="B32">
        <v>28</v>
      </c>
      <c r="C32" s="17">
        <f t="shared" si="0"/>
        <v>4.5616383287504911</v>
      </c>
      <c r="D32" s="17">
        <f t="shared" si="1"/>
        <v>4.4579988038503107</v>
      </c>
    </row>
    <row r="33" spans="2:4">
      <c r="B33">
        <v>29</v>
      </c>
      <c r="C33" s="17">
        <f t="shared" si="0"/>
        <v>4.408539709863307</v>
      </c>
      <c r="D33" s="17">
        <f t="shared" si="1"/>
        <v>4.3924145737583649</v>
      </c>
    </row>
    <row r="34" spans="2:4">
      <c r="B34">
        <v>30</v>
      </c>
      <c r="C34" s="17">
        <f t="shared" si="0"/>
        <v>4.4720365472900037</v>
      </c>
      <c r="D34" s="17">
        <f t="shared" si="1"/>
        <v>4.4647979446178381</v>
      </c>
    </row>
    <row r="35" spans="2:4">
      <c r="B35">
        <v>31</v>
      </c>
      <c r="C35" s="17">
        <f t="shared" si="0"/>
        <v>4.3428414883679647</v>
      </c>
      <c r="D35" s="17">
        <f t="shared" si="1"/>
        <v>4.428210517948485</v>
      </c>
    </row>
    <row r="36" spans="2:4">
      <c r="B36">
        <v>32</v>
      </c>
      <c r="C36" s="17">
        <f t="shared" si="0"/>
        <v>4.5931665008261335</v>
      </c>
      <c r="D36" s="17">
        <f t="shared" si="1"/>
        <v>4.4446738744497489</v>
      </c>
    </row>
    <row r="37" spans="2:4">
      <c r="B37">
        <v>33</v>
      </c>
      <c r="C37" s="17">
        <f t="shared" si="0"/>
        <v>4.5472644698134728</v>
      </c>
      <c r="D37" s="17">
        <f t="shared" si="1"/>
        <v>4.3922488619169622</v>
      </c>
    </row>
    <row r="38" spans="2:4">
      <c r="B38">
        <v>34</v>
      </c>
      <c r="C38" s="17">
        <f t="shared" si="0"/>
        <v>4.4455593013853498</v>
      </c>
      <c r="D38" s="17">
        <f t="shared" si="1"/>
        <v>4.3911311203863264</v>
      </c>
    </row>
    <row r="39" spans="2:4">
      <c r="B39">
        <v>35</v>
      </c>
      <c r="C39" s="17">
        <f t="shared" si="0"/>
        <v>4.4143100868252612</v>
      </c>
      <c r="D39" s="17">
        <f t="shared" si="1"/>
        <v>4.4737646789114516</v>
      </c>
    </row>
    <row r="40" spans="2:4">
      <c r="B40">
        <v>36</v>
      </c>
      <c r="C40" s="17">
        <f t="shared" si="0"/>
        <v>4.4658065984693858</v>
      </c>
      <c r="D40" s="17">
        <f t="shared" si="1"/>
        <v>4.4263828978152189</v>
      </c>
    </row>
    <row r="41" spans="2:4">
      <c r="B41">
        <v>37</v>
      </c>
      <c r="C41" s="17">
        <f t="shared" si="0"/>
        <v>4.4512019108833982</v>
      </c>
      <c r="D41" s="17">
        <f t="shared" si="1"/>
        <v>4.4291221185377561</v>
      </c>
    </row>
    <row r="42" spans="2:4">
      <c r="B42">
        <v>38</v>
      </c>
      <c r="C42" s="17">
        <f t="shared" si="0"/>
        <v>4.4250616342696132</v>
      </c>
      <c r="D42" s="17">
        <f t="shared" si="1"/>
        <v>4.4615005408470871</v>
      </c>
    </row>
    <row r="43" spans="2:4">
      <c r="B43">
        <v>39</v>
      </c>
      <c r="C43" s="17">
        <f t="shared" si="0"/>
        <v>4.4681814552449852</v>
      </c>
      <c r="D43" s="17">
        <f t="shared" si="1"/>
        <v>4.4448096988227963</v>
      </c>
    </row>
    <row r="44" spans="2:4">
      <c r="B44">
        <v>40</v>
      </c>
      <c r="C44" s="17">
        <f t="shared" si="0"/>
        <v>4.4567877818614852</v>
      </c>
      <c r="D44" s="17">
        <f t="shared" si="1"/>
        <v>4.4288444670484042</v>
      </c>
    </row>
    <row r="45" spans="2:4">
      <c r="B45">
        <v>41</v>
      </c>
      <c r="C45" s="17">
        <f t="shared" si="0"/>
        <v>4.3685937494167417</v>
      </c>
      <c r="D45" s="17">
        <f t="shared" si="1"/>
        <v>4.4101560563376534</v>
      </c>
    </row>
    <row r="46" spans="2:4">
      <c r="B46">
        <v>42</v>
      </c>
      <c r="C46" s="17">
        <f t="shared" si="0"/>
        <v>4.3643820349042048</v>
      </c>
      <c r="D46" s="17">
        <f t="shared" si="1"/>
        <v>4.448490849693278</v>
      </c>
    </row>
    <row r="47" spans="2:4">
      <c r="B47">
        <v>43</v>
      </c>
      <c r="C47" s="17">
        <f t="shared" si="0"/>
        <v>4.5810194845243064</v>
      </c>
      <c r="D47" s="17">
        <f t="shared" si="1"/>
        <v>4.4837601986198585</v>
      </c>
    </row>
    <row r="48" spans="2:4">
      <c r="B48">
        <v>44</v>
      </c>
      <c r="C48" s="17">
        <f t="shared" si="0"/>
        <v>4.4853319804512743</v>
      </c>
      <c r="D48" s="17">
        <f t="shared" si="1"/>
        <v>4.5187331211490918</v>
      </c>
    </row>
    <row r="49" spans="2:4">
      <c r="B49">
        <v>45</v>
      </c>
      <c r="C49" s="17">
        <f t="shared" si="0"/>
        <v>4.4490069530849254</v>
      </c>
      <c r="D49" s="17">
        <f t="shared" si="1"/>
        <v>4.4829887385599161</v>
      </c>
    </row>
    <row r="50" spans="2:4">
      <c r="B50">
        <v>46</v>
      </c>
      <c r="C50" s="17">
        <f t="shared" si="0"/>
        <v>4.4492589041307795</v>
      </c>
      <c r="D50" s="17">
        <f t="shared" si="1"/>
        <v>4.3903126715416994</v>
      </c>
    </row>
    <row r="51" spans="2:4">
      <c r="B51">
        <v>47</v>
      </c>
      <c r="C51" s="17">
        <f t="shared" si="0"/>
        <v>4.4795113626391521</v>
      </c>
      <c r="D51" s="17">
        <f t="shared" si="1"/>
        <v>4.4069052900970398</v>
      </c>
    </row>
    <row r="52" spans="2:4">
      <c r="B52">
        <v>48</v>
      </c>
      <c r="C52" s="17">
        <f t="shared" si="0"/>
        <v>4.543982940331774</v>
      </c>
      <c r="D52" s="17">
        <f t="shared" si="1"/>
        <v>4.3799424122552617</v>
      </c>
    </row>
    <row r="53" spans="2:4">
      <c r="B53">
        <v>49</v>
      </c>
      <c r="C53" s="17">
        <f t="shared" si="0"/>
        <v>4.5711622197910495</v>
      </c>
      <c r="D53" s="17">
        <f t="shared" si="1"/>
        <v>4.5063932233726423</v>
      </c>
    </row>
    <row r="54" spans="2:4">
      <c r="B54">
        <v>50</v>
      </c>
      <c r="C54" s="17">
        <f t="shared" si="0"/>
        <v>4.5484900849697221</v>
      </c>
      <c r="D54" s="17">
        <f t="shared" si="1"/>
        <v>4.4571652367630694</v>
      </c>
    </row>
    <row r="55" spans="2:4">
      <c r="B55">
        <v>51</v>
      </c>
      <c r="C55" s="17">
        <f t="shared" si="0"/>
        <v>4.4973899113155662</v>
      </c>
      <c r="D55" s="17">
        <f t="shared" si="1"/>
        <v>4.4157564852522802</v>
      </c>
    </row>
    <row r="56" spans="2:4">
      <c r="B56">
        <v>52</v>
      </c>
      <c r="C56" s="17">
        <f t="shared" si="0"/>
        <v>4.4458631547576557</v>
      </c>
      <c r="D56" s="17">
        <f t="shared" si="1"/>
        <v>4.4926336303289895</v>
      </c>
    </row>
    <row r="57" spans="2:4">
      <c r="B57">
        <v>53</v>
      </c>
      <c r="C57" s="17">
        <f t="shared" si="0"/>
        <v>4.46249084384712</v>
      </c>
      <c r="D57" s="17">
        <f t="shared" si="1"/>
        <v>4.4089797478267858</v>
      </c>
    </row>
    <row r="58" spans="2:4">
      <c r="B58">
        <v>54</v>
      </c>
      <c r="C58" s="17">
        <f t="shared" si="0"/>
        <v>4.6063842608564682</v>
      </c>
      <c r="D58" s="17">
        <f t="shared" si="1"/>
        <v>4.513047579155141</v>
      </c>
    </row>
    <row r="59" spans="2:4">
      <c r="B59">
        <v>55</v>
      </c>
      <c r="C59" s="17">
        <f t="shared" si="0"/>
        <v>4.5072931172367436</v>
      </c>
      <c r="D59" s="17">
        <f t="shared" si="1"/>
        <v>4.4358228941827562</v>
      </c>
    </row>
    <row r="60" spans="2:4">
      <c r="B60">
        <v>56</v>
      </c>
      <c r="C60" s="17">
        <f t="shared" si="0"/>
        <v>4.5764556418375735</v>
      </c>
      <c r="D60" s="17">
        <f t="shared" si="1"/>
        <v>4.4781258276455649</v>
      </c>
    </row>
    <row r="61" spans="2:4">
      <c r="B61">
        <v>57</v>
      </c>
      <c r="C61" s="17">
        <f t="shared" si="0"/>
        <v>4.3754075171894966</v>
      </c>
      <c r="D61" s="17">
        <f t="shared" si="1"/>
        <v>4.43059468468444</v>
      </c>
    </row>
    <row r="62" spans="2:4">
      <c r="B62">
        <v>58</v>
      </c>
      <c r="C62" s="17">
        <f t="shared" si="0"/>
        <v>4.3713521505665485</v>
      </c>
      <c r="D62" s="17">
        <f t="shared" si="1"/>
        <v>4.5236602753839872</v>
      </c>
    </row>
    <row r="63" spans="2:4">
      <c r="B63">
        <v>59</v>
      </c>
      <c r="C63" s="17">
        <f t="shared" si="0"/>
        <v>4.4596438785234715</v>
      </c>
      <c r="D63" s="17">
        <f t="shared" si="1"/>
        <v>4.4490040752342113</v>
      </c>
    </row>
    <row r="64" spans="2:4">
      <c r="B64">
        <v>60</v>
      </c>
      <c r="C64" s="17">
        <f t="shared" si="0"/>
        <v>4.5087711306448517</v>
      </c>
      <c r="D64" s="17">
        <f t="shared" si="1"/>
        <v>4.3971932371681328</v>
      </c>
    </row>
    <row r="65" spans="2:4">
      <c r="B65">
        <v>61</v>
      </c>
      <c r="C65" s="17">
        <f t="shared" si="0"/>
        <v>4.5068455315746698</v>
      </c>
      <c r="D65" s="17">
        <f t="shared" si="1"/>
        <v>4.4484315164778137</v>
      </c>
    </row>
    <row r="66" spans="2:4">
      <c r="B66">
        <v>62</v>
      </c>
      <c r="C66" s="17">
        <f t="shared" si="0"/>
        <v>4.4429491531074712</v>
      </c>
      <c r="D66" s="17">
        <f t="shared" si="1"/>
        <v>4.4626711977825169</v>
      </c>
    </row>
    <row r="67" spans="2:4">
      <c r="B67">
        <v>63</v>
      </c>
      <c r="C67" s="17">
        <f t="shared" si="0"/>
        <v>4.5703149826703626</v>
      </c>
      <c r="D67" s="17">
        <f t="shared" si="1"/>
        <v>4.4319630742494258</v>
      </c>
    </row>
    <row r="68" spans="2:4">
      <c r="B68">
        <v>64</v>
      </c>
      <c r="C68" s="17">
        <f t="shared" si="0"/>
        <v>4.2294420674422506</v>
      </c>
      <c r="D68" s="17">
        <f t="shared" si="1"/>
        <v>4.3810323035766157</v>
      </c>
    </row>
    <row r="69" spans="2:4">
      <c r="B69">
        <v>65</v>
      </c>
      <c r="C69" s="17">
        <f t="shared" si="0"/>
        <v>4.5153740438656822</v>
      </c>
      <c r="D69" s="17">
        <f t="shared" si="1"/>
        <v>4.4469426230630305</v>
      </c>
    </row>
    <row r="70" spans="2:4">
      <c r="B70">
        <v>66</v>
      </c>
      <c r="C70" s="17">
        <f t="shared" ref="C70:C104" si="2">MCOptionValue(1,95,100,0.06,0,0.5,0.2,10000)</f>
        <v>4.3859394219476364</v>
      </c>
      <c r="D70" s="17">
        <f t="shared" ref="D70:D104" si="3">MCOptionValueAV(1,95,100,0.06,0,0.5,0.2,10000)</f>
        <v>4.4344854143622037</v>
      </c>
    </row>
    <row r="71" spans="2:4">
      <c r="B71">
        <v>67</v>
      </c>
      <c r="C71" s="17">
        <f t="shared" si="2"/>
        <v>4.5848620999494614</v>
      </c>
      <c r="D71" s="17">
        <f t="shared" si="3"/>
        <v>4.4683788261809525</v>
      </c>
    </row>
    <row r="72" spans="2:4">
      <c r="B72">
        <v>68</v>
      </c>
      <c r="C72" s="17">
        <f t="shared" si="2"/>
        <v>4.37626823202823</v>
      </c>
      <c r="D72" s="17">
        <f t="shared" si="3"/>
        <v>4.4773824648227043</v>
      </c>
    </row>
    <row r="73" spans="2:4">
      <c r="B73">
        <v>69</v>
      </c>
      <c r="C73" s="17">
        <f t="shared" si="2"/>
        <v>4.5156433417052515</v>
      </c>
      <c r="D73" s="17">
        <f t="shared" si="3"/>
        <v>4.3564322243743216</v>
      </c>
    </row>
    <row r="74" spans="2:4">
      <c r="B74">
        <v>70</v>
      </c>
      <c r="C74" s="17">
        <f t="shared" si="2"/>
        <v>4.578131230871711</v>
      </c>
      <c r="D74" s="17">
        <f t="shared" si="3"/>
        <v>4.4560750406077991</v>
      </c>
    </row>
    <row r="75" spans="2:4">
      <c r="B75">
        <v>71</v>
      </c>
      <c r="C75" s="17">
        <f t="shared" si="2"/>
        <v>4.4664993410286744</v>
      </c>
      <c r="D75" s="17">
        <f t="shared" si="3"/>
        <v>4.5532333733518557</v>
      </c>
    </row>
    <row r="76" spans="2:4">
      <c r="B76">
        <v>72</v>
      </c>
      <c r="C76" s="17">
        <f t="shared" si="2"/>
        <v>4.3790493042570553</v>
      </c>
      <c r="D76" s="17">
        <f t="shared" si="3"/>
        <v>4.4939205788008545</v>
      </c>
    </row>
    <row r="77" spans="2:4">
      <c r="B77">
        <v>73</v>
      </c>
      <c r="C77" s="17">
        <f t="shared" si="2"/>
        <v>4.4283526700090059</v>
      </c>
      <c r="D77" s="17">
        <f t="shared" si="3"/>
        <v>4.3750385610363516</v>
      </c>
    </row>
    <row r="78" spans="2:4">
      <c r="B78">
        <v>74</v>
      </c>
      <c r="C78" s="17">
        <f t="shared" si="2"/>
        <v>4.5175981447901341</v>
      </c>
      <c r="D78" s="17">
        <f t="shared" si="3"/>
        <v>4.3698710658557012</v>
      </c>
    </row>
    <row r="79" spans="2:4">
      <c r="B79">
        <v>75</v>
      </c>
      <c r="C79" s="17">
        <f t="shared" si="2"/>
        <v>4.3975139860074099</v>
      </c>
      <c r="D79" s="17">
        <f t="shared" si="3"/>
        <v>4.4012059739759275</v>
      </c>
    </row>
    <row r="80" spans="2:4">
      <c r="B80">
        <v>76</v>
      </c>
      <c r="C80" s="17">
        <f t="shared" si="2"/>
        <v>4.4226901486693704</v>
      </c>
      <c r="D80" s="17">
        <f t="shared" si="3"/>
        <v>4.4929304076594239</v>
      </c>
    </row>
    <row r="81" spans="2:4">
      <c r="B81">
        <v>77</v>
      </c>
      <c r="C81" s="17">
        <f t="shared" si="2"/>
        <v>4.4295423364737543</v>
      </c>
      <c r="D81" s="17">
        <f t="shared" si="3"/>
        <v>4.5060071108768698</v>
      </c>
    </row>
    <row r="82" spans="2:4">
      <c r="B82">
        <v>78</v>
      </c>
      <c r="C82" s="17">
        <f t="shared" si="2"/>
        <v>4.5161660684667684</v>
      </c>
      <c r="D82" s="17">
        <f t="shared" si="3"/>
        <v>4.4542213785495806</v>
      </c>
    </row>
    <row r="83" spans="2:4">
      <c r="B83">
        <v>79</v>
      </c>
      <c r="C83" s="17">
        <f t="shared" si="2"/>
        <v>4.4774956819672003</v>
      </c>
      <c r="D83" s="17">
        <f t="shared" si="3"/>
        <v>4.3791033081315511</v>
      </c>
    </row>
    <row r="84" spans="2:4">
      <c r="B84">
        <v>80</v>
      </c>
      <c r="C84" s="17">
        <f t="shared" si="2"/>
        <v>4.5609664430077448</v>
      </c>
      <c r="D84" s="17">
        <f t="shared" si="3"/>
        <v>4.3543681171551372</v>
      </c>
    </row>
    <row r="85" spans="2:4">
      <c r="B85">
        <v>81</v>
      </c>
      <c r="C85" s="17">
        <f t="shared" si="2"/>
        <v>4.369983414880048</v>
      </c>
      <c r="D85" s="17">
        <f t="shared" si="3"/>
        <v>4.5185994248522627</v>
      </c>
    </row>
    <row r="86" spans="2:4">
      <c r="B86">
        <v>82</v>
      </c>
      <c r="C86" s="17">
        <f t="shared" si="2"/>
        <v>4.6185670695077476</v>
      </c>
      <c r="D86" s="17">
        <f t="shared" si="3"/>
        <v>4.4583446504223812</v>
      </c>
    </row>
    <row r="87" spans="2:4">
      <c r="B87">
        <v>83</v>
      </c>
      <c r="C87" s="17">
        <f t="shared" si="2"/>
        <v>4.3984065633021094</v>
      </c>
      <c r="D87" s="17">
        <f t="shared" si="3"/>
        <v>4.4616692117213494</v>
      </c>
    </row>
    <row r="88" spans="2:4">
      <c r="B88">
        <v>84</v>
      </c>
      <c r="C88" s="17">
        <f t="shared" si="2"/>
        <v>4.5165549306075743</v>
      </c>
      <c r="D88" s="17">
        <f t="shared" si="3"/>
        <v>4.4223858944466317</v>
      </c>
    </row>
    <row r="89" spans="2:4">
      <c r="B89">
        <v>85</v>
      </c>
      <c r="C89" s="17">
        <f t="shared" si="2"/>
        <v>4.3595311282704801</v>
      </c>
      <c r="D89" s="17">
        <f t="shared" si="3"/>
        <v>4.46430744163903</v>
      </c>
    </row>
    <row r="90" spans="2:4">
      <c r="B90">
        <v>86</v>
      </c>
      <c r="C90" s="17">
        <f t="shared" si="2"/>
        <v>4.3300384013226783</v>
      </c>
      <c r="D90" s="17">
        <f t="shared" si="3"/>
        <v>4.4750133437494233</v>
      </c>
    </row>
    <row r="91" spans="2:4">
      <c r="B91">
        <v>87</v>
      </c>
      <c r="C91" s="17">
        <f t="shared" si="2"/>
        <v>4.3073599402620593</v>
      </c>
      <c r="D91" s="17">
        <f t="shared" si="3"/>
        <v>4.4295921651052961</v>
      </c>
    </row>
    <row r="92" spans="2:4">
      <c r="B92">
        <v>88</v>
      </c>
      <c r="C92" s="17">
        <f t="shared" si="2"/>
        <v>4.5375002104601858</v>
      </c>
      <c r="D92" s="17">
        <f t="shared" si="3"/>
        <v>4.4410429435357628</v>
      </c>
    </row>
    <row r="93" spans="2:4">
      <c r="B93">
        <v>89</v>
      </c>
      <c r="C93" s="17">
        <f t="shared" si="2"/>
        <v>4.4313468895968366</v>
      </c>
      <c r="D93" s="17">
        <f t="shared" si="3"/>
        <v>4.4443834531237707</v>
      </c>
    </row>
    <row r="94" spans="2:4">
      <c r="B94">
        <v>90</v>
      </c>
      <c r="C94" s="17">
        <f t="shared" si="2"/>
        <v>4.4031769748076401</v>
      </c>
      <c r="D94" s="17">
        <f t="shared" si="3"/>
        <v>4.3812060476052306</v>
      </c>
    </row>
    <row r="95" spans="2:4">
      <c r="B95">
        <v>91</v>
      </c>
      <c r="C95" s="17">
        <f t="shared" si="2"/>
        <v>4.5046630949888842</v>
      </c>
      <c r="D95" s="17">
        <f t="shared" si="3"/>
        <v>4.4173832421152328</v>
      </c>
    </row>
    <row r="96" spans="2:4">
      <c r="B96">
        <v>92</v>
      </c>
      <c r="C96" s="17">
        <f t="shared" si="2"/>
        <v>4.6028761378028262</v>
      </c>
      <c r="D96" s="17">
        <f t="shared" si="3"/>
        <v>4.4723648385558965</v>
      </c>
    </row>
    <row r="97" spans="2:4">
      <c r="B97">
        <v>93</v>
      </c>
      <c r="C97" s="17">
        <f t="shared" si="2"/>
        <v>4.6120171433932251</v>
      </c>
      <c r="D97" s="17">
        <f t="shared" si="3"/>
        <v>4.4385846521364183</v>
      </c>
    </row>
    <row r="98" spans="2:4">
      <c r="B98">
        <v>94</v>
      </c>
      <c r="C98" s="17">
        <f t="shared" si="2"/>
        <v>4.4769642674179861</v>
      </c>
      <c r="D98" s="17">
        <f t="shared" si="3"/>
        <v>4.4172227856863229</v>
      </c>
    </row>
    <row r="99" spans="2:4">
      <c r="B99">
        <v>95</v>
      </c>
      <c r="C99" s="17">
        <f t="shared" si="2"/>
        <v>4.4827840340016181</v>
      </c>
      <c r="D99" s="17">
        <f t="shared" si="3"/>
        <v>4.4306449925896985</v>
      </c>
    </row>
    <row r="100" spans="2:4">
      <c r="B100">
        <v>96</v>
      </c>
      <c r="C100" s="17">
        <f t="shared" si="2"/>
        <v>4.4506886089573978</v>
      </c>
      <c r="D100" s="17">
        <f t="shared" si="3"/>
        <v>4.4059634601696311</v>
      </c>
    </row>
    <row r="101" spans="2:4">
      <c r="B101">
        <v>97</v>
      </c>
      <c r="C101" s="17">
        <f t="shared" si="2"/>
        <v>4.4869583680298106</v>
      </c>
      <c r="D101" s="17">
        <f t="shared" si="3"/>
        <v>4.514877229078281</v>
      </c>
    </row>
    <row r="102" spans="2:4">
      <c r="B102">
        <v>98</v>
      </c>
      <c r="C102" s="17">
        <f t="shared" si="2"/>
        <v>4.4189834740542473</v>
      </c>
      <c r="D102" s="17">
        <f t="shared" si="3"/>
        <v>4.3678464624782407</v>
      </c>
    </row>
    <row r="103" spans="2:4">
      <c r="B103">
        <v>99</v>
      </c>
      <c r="C103" s="17">
        <f t="shared" si="2"/>
        <v>4.4763964333344575</v>
      </c>
      <c r="D103" s="17">
        <f t="shared" si="3"/>
        <v>4.4751537064145541</v>
      </c>
    </row>
    <row r="104" spans="2:4">
      <c r="B104">
        <v>100</v>
      </c>
      <c r="C104" s="17">
        <f t="shared" si="2"/>
        <v>4.3396647894326321</v>
      </c>
      <c r="D104" s="17">
        <f t="shared" si="3"/>
        <v>4.4649430906687249</v>
      </c>
    </row>
    <row r="105" spans="2:4">
      <c r="B105" s="24" t="s">
        <v>9</v>
      </c>
      <c r="C105" s="25">
        <f>AVERAGE(C5:C104)</f>
        <v>4.4627049355193478</v>
      </c>
      <c r="D105" s="25">
        <f>AVERAGE(D5:D104)</f>
        <v>4.4463914951926578</v>
      </c>
    </row>
    <row r="106" spans="2:4">
      <c r="B106" s="24" t="s">
        <v>10</v>
      </c>
      <c r="C106" s="26">
        <f>STDEV(C5:C104)</f>
        <v>8.0877687228841783E-2</v>
      </c>
      <c r="D106" s="26">
        <f>STDEV(D5:D104)</f>
        <v>4.539286756304025E-2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4"/>
  <dimension ref="A1:F17"/>
  <sheetViews>
    <sheetView workbookViewId="0">
      <selection activeCell="F14" sqref="F14"/>
    </sheetView>
  </sheetViews>
  <sheetFormatPr defaultRowHeight="14.25"/>
  <cols>
    <col min="1" max="1" width="14.25" bestFit="1" customWidth="1"/>
    <col min="2" max="2" width="4.875" bestFit="1" customWidth="1"/>
    <col min="4" max="4" width="14.25" bestFit="1" customWidth="1"/>
    <col min="6" max="6" width="13.5" customWidth="1"/>
  </cols>
  <sheetData>
    <row r="1" spans="1:6">
      <c r="A1" s="31" t="s">
        <v>23</v>
      </c>
      <c r="B1" s="32">
        <v>95</v>
      </c>
      <c r="D1" s="33" t="s">
        <v>26</v>
      </c>
      <c r="E1" s="33" t="s">
        <v>27</v>
      </c>
      <c r="F1" s="33" t="s">
        <v>31</v>
      </c>
    </row>
    <row r="2" spans="1:6">
      <c r="A2" s="31" t="s">
        <v>22</v>
      </c>
      <c r="B2" s="32">
        <v>100</v>
      </c>
      <c r="D2" s="32">
        <v>100</v>
      </c>
      <c r="E2" s="32">
        <f t="shared" ref="E2:E17" si="0">BSOptionValue(1,B$1,B$2,B$3,B$4,B$5,B$6)</f>
        <v>4.4518249920284632</v>
      </c>
      <c r="F2" s="32">
        <f t="shared" ref="F2:F17" si="1">MCOptionValueAV(1,B$1,B$2,B$3,B$4,B$5,B$6,D2)</f>
        <v>5.2231401155480217</v>
      </c>
    </row>
    <row r="3" spans="1:6">
      <c r="A3" s="31" t="s">
        <v>28</v>
      </c>
      <c r="B3" s="32">
        <v>0.06</v>
      </c>
      <c r="D3" s="32">
        <v>200</v>
      </c>
      <c r="E3" s="32">
        <f t="shared" si="0"/>
        <v>4.4518249920284632</v>
      </c>
      <c r="F3" s="32">
        <f t="shared" si="1"/>
        <v>4.6652922760628597</v>
      </c>
    </row>
    <row r="4" spans="1:6">
      <c r="A4" s="31" t="s">
        <v>29</v>
      </c>
      <c r="B4" s="32">
        <v>0</v>
      </c>
      <c r="D4" s="32">
        <v>300</v>
      </c>
      <c r="E4" s="32">
        <f t="shared" si="0"/>
        <v>4.4518249920284632</v>
      </c>
      <c r="F4" s="32">
        <f t="shared" si="1"/>
        <v>4.5579496875550811</v>
      </c>
    </row>
    <row r="5" spans="1:6">
      <c r="A5" s="31" t="s">
        <v>24</v>
      </c>
      <c r="B5" s="32">
        <v>0.5</v>
      </c>
      <c r="D5" s="32">
        <v>400</v>
      </c>
      <c r="E5" s="32">
        <f t="shared" si="0"/>
        <v>4.4518249920284632</v>
      </c>
      <c r="F5" s="32">
        <f t="shared" si="1"/>
        <v>4.3974115088778065</v>
      </c>
    </row>
    <row r="6" spans="1:6">
      <c r="A6" s="31" t="s">
        <v>30</v>
      </c>
      <c r="B6" s="32">
        <v>0.2</v>
      </c>
      <c r="D6" s="32">
        <v>500</v>
      </c>
      <c r="E6" s="32">
        <f t="shared" si="0"/>
        <v>4.4518249920284632</v>
      </c>
      <c r="F6" s="32">
        <f t="shared" si="1"/>
        <v>4.8209759476488534</v>
      </c>
    </row>
    <row r="7" spans="1:6">
      <c r="D7" s="32">
        <v>600</v>
      </c>
      <c r="E7" s="32">
        <f t="shared" si="0"/>
        <v>4.4518249920284632</v>
      </c>
      <c r="F7" s="32">
        <f t="shared" si="1"/>
        <v>4.3053768256966576</v>
      </c>
    </row>
    <row r="8" spans="1:6">
      <c r="D8" s="32">
        <v>700</v>
      </c>
      <c r="E8" s="32">
        <f t="shared" si="0"/>
        <v>4.4518249920284632</v>
      </c>
      <c r="F8" s="32">
        <f t="shared" si="1"/>
        <v>4.6212090451706578</v>
      </c>
    </row>
    <row r="9" spans="1:6">
      <c r="D9" s="32">
        <v>800</v>
      </c>
      <c r="E9" s="32">
        <f t="shared" si="0"/>
        <v>4.4518249920284632</v>
      </c>
      <c r="F9" s="32">
        <f t="shared" si="1"/>
        <v>4.442256220654949</v>
      </c>
    </row>
    <row r="10" spans="1:6">
      <c r="D10" s="32">
        <v>900</v>
      </c>
      <c r="E10" s="32">
        <f t="shared" si="0"/>
        <v>4.4518249920284632</v>
      </c>
      <c r="F10" s="32">
        <f t="shared" si="1"/>
        <v>4.3419072876074614</v>
      </c>
    </row>
    <row r="11" spans="1:6">
      <c r="D11" s="32">
        <v>1000</v>
      </c>
      <c r="E11" s="32">
        <f t="shared" si="0"/>
        <v>4.4518249920284632</v>
      </c>
      <c r="F11" s="32">
        <f t="shared" si="1"/>
        <v>4.3304015916124268</v>
      </c>
    </row>
    <row r="12" spans="1:6">
      <c r="D12" s="32">
        <v>1200</v>
      </c>
      <c r="E12" s="32">
        <f t="shared" si="0"/>
        <v>4.4518249920284632</v>
      </c>
      <c r="F12" s="32">
        <f t="shared" si="1"/>
        <v>4.4388439291032613</v>
      </c>
    </row>
    <row r="13" spans="1:6">
      <c r="D13" s="32">
        <v>1400</v>
      </c>
      <c r="E13" s="32">
        <f t="shared" si="0"/>
        <v>4.4518249920284632</v>
      </c>
      <c r="F13" s="32">
        <f t="shared" si="1"/>
        <v>4.5450148684882494</v>
      </c>
    </row>
    <row r="14" spans="1:6">
      <c r="D14" s="32">
        <v>1600</v>
      </c>
      <c r="E14" s="32">
        <f t="shared" si="0"/>
        <v>4.4518249920284632</v>
      </c>
      <c r="F14" s="32">
        <f t="shared" si="1"/>
        <v>4.5638349342428413</v>
      </c>
    </row>
    <row r="15" spans="1:6">
      <c r="D15" s="32">
        <v>2000</v>
      </c>
      <c r="E15" s="32">
        <f t="shared" si="0"/>
        <v>4.4518249920284632</v>
      </c>
      <c r="F15" s="32">
        <f t="shared" si="1"/>
        <v>4.4461306418723545</v>
      </c>
    </row>
    <row r="16" spans="1:6">
      <c r="D16" s="32">
        <v>5000</v>
      </c>
      <c r="E16" s="32">
        <f t="shared" si="0"/>
        <v>4.4518249920284632</v>
      </c>
      <c r="F16" s="32">
        <f t="shared" si="1"/>
        <v>4.4228985164409522</v>
      </c>
    </row>
    <row r="17" spans="4:6">
      <c r="D17" s="32">
        <v>10000</v>
      </c>
      <c r="E17" s="32">
        <f t="shared" si="0"/>
        <v>4.4518249920284632</v>
      </c>
      <c r="F17" s="32">
        <f t="shared" si="1"/>
        <v>4.4269703863920924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7"/>
  <dimension ref="A1:G56"/>
  <sheetViews>
    <sheetView workbookViewId="0">
      <selection activeCell="A12" sqref="A12"/>
    </sheetView>
  </sheetViews>
  <sheetFormatPr defaultRowHeight="12.75"/>
  <cols>
    <col min="1" max="1" width="62.125" style="9" bestFit="1" customWidth="1"/>
    <col min="2" max="2" width="9" style="9"/>
    <col min="3" max="3" width="5.75" style="9" customWidth="1"/>
    <col min="4" max="4" width="5.375" style="9" customWidth="1"/>
    <col min="5" max="5" width="20.5" style="9" bestFit="1" customWidth="1"/>
    <col min="6" max="6" width="20.25" style="9" bestFit="1" customWidth="1"/>
    <col min="7" max="7" width="16.875" style="9" bestFit="1" customWidth="1"/>
    <col min="8" max="16384" width="9" style="9"/>
  </cols>
  <sheetData>
    <row r="1" spans="1:6">
      <c r="A1" s="1"/>
      <c r="B1" s="2"/>
      <c r="C1" s="2"/>
      <c r="D1" s="2"/>
      <c r="E1" s="2"/>
    </row>
    <row r="2" spans="1:6">
      <c r="A2" s="10" t="s">
        <v>33</v>
      </c>
      <c r="B2" s="11"/>
      <c r="C2" s="11"/>
      <c r="D2" s="11"/>
      <c r="E2" s="11"/>
      <c r="F2" s="22"/>
    </row>
    <row r="4" spans="1:6">
      <c r="A4" s="3" t="s">
        <v>16</v>
      </c>
      <c r="B4" s="4">
        <v>95</v>
      </c>
      <c r="C4" s="2"/>
      <c r="E4" s="18" t="s">
        <v>32</v>
      </c>
      <c r="F4" s="18" t="s">
        <v>25</v>
      </c>
    </row>
    <row r="5" spans="1:6">
      <c r="A5" s="2" t="s">
        <v>15</v>
      </c>
      <c r="B5" s="4">
        <v>100</v>
      </c>
      <c r="C5" s="2"/>
      <c r="D5" s="9">
        <v>1</v>
      </c>
      <c r="E5" s="17">
        <f>MCOptionValue(1,B$4,B$5,B$6,B$7,B$8,B$10,B$12)</f>
        <v>4.4218648444044142</v>
      </c>
      <c r="F5" s="17">
        <f>_xll.EuropeanCallOptionPricer($B$8,$B$5,$B$4,$B$10,$B$6,$B$13)</f>
        <v>4.4486939504334488</v>
      </c>
    </row>
    <row r="6" spans="1:6">
      <c r="A6" s="3" t="s">
        <v>14</v>
      </c>
      <c r="B6" s="6">
        <v>0.06</v>
      </c>
      <c r="C6" s="2"/>
      <c r="D6" s="2">
        <v>2</v>
      </c>
      <c r="E6" s="17">
        <f t="shared" ref="E6:E54" si="0">MCOptionValue(1,B$4,B$5,B$6,B$7,B$8,B$10,B$12)</f>
        <v>4.7595794751175937</v>
      </c>
      <c r="F6" s="17">
        <f>_xll.EuropeanCallOptionPricer($B$8,$B$5,$B$4,$B$10,$B$6,$B$13)</f>
        <v>4.4766785920683629</v>
      </c>
    </row>
    <row r="7" spans="1:6">
      <c r="A7" s="3" t="s">
        <v>17</v>
      </c>
      <c r="B7" s="6">
        <v>0</v>
      </c>
      <c r="C7" s="2"/>
      <c r="D7" s="9">
        <v>3</v>
      </c>
      <c r="E7" s="17">
        <f t="shared" si="0"/>
        <v>4.5911190781226745</v>
      </c>
      <c r="F7" s="17">
        <f>_xll.EuropeanCallOptionPricer($B$8,$B$5,$B$4,$B$10,$B$6,$B$13)</f>
        <v>4.446911653113812</v>
      </c>
    </row>
    <row r="8" spans="1:6">
      <c r="A8" s="3" t="s">
        <v>18</v>
      </c>
      <c r="B8" s="8">
        <v>0.5</v>
      </c>
      <c r="C8" s="2"/>
      <c r="D8" s="2">
        <v>4</v>
      </c>
      <c r="E8" s="17">
        <f t="shared" si="0"/>
        <v>4.7196645350620665</v>
      </c>
      <c r="F8" s="17">
        <f>_xll.EuropeanCallOptionPricer($B$8,$B$5,$B$4,$B$10,$B$6,$B$13)</f>
        <v>4.4095890407588447</v>
      </c>
    </row>
    <row r="9" spans="1:6">
      <c r="A9" s="20"/>
      <c r="B9" s="21"/>
      <c r="C9" s="2"/>
      <c r="D9" s="9">
        <v>5</v>
      </c>
      <c r="E9" s="17">
        <f t="shared" si="0"/>
        <v>4.4765721137742318</v>
      </c>
      <c r="F9" s="17">
        <f>_xll.EuropeanCallOptionPricer($B$8,$B$5,$B$4,$B$10,$B$6,$B$13)</f>
        <v>4.4891043933535055</v>
      </c>
    </row>
    <row r="10" spans="1:6">
      <c r="A10" s="3" t="s">
        <v>19</v>
      </c>
      <c r="B10" s="6">
        <v>0.2</v>
      </c>
      <c r="C10" s="2"/>
      <c r="D10" s="2">
        <v>6</v>
      </c>
      <c r="E10" s="17">
        <f t="shared" si="0"/>
        <v>4.313278046068679</v>
      </c>
      <c r="F10" s="17">
        <f>_xll.EuropeanCallOptionPricer($B$8,$B$5,$B$4,$B$10,$B$6,$B$13)</f>
        <v>4.448557706405059</v>
      </c>
    </row>
    <row r="11" spans="1:6">
      <c r="C11" s="2"/>
      <c r="D11" s="9">
        <v>7</v>
      </c>
      <c r="E11" s="17">
        <f t="shared" si="0"/>
        <v>3.7462504127253728</v>
      </c>
      <c r="F11" s="17">
        <f>_xll.EuropeanCallOptionPricer($B$8,$B$5,$B$4,$B$10,$B$6,$B$13)</f>
        <v>4.4641973042230694</v>
      </c>
    </row>
    <row r="12" spans="1:6">
      <c r="A12" s="3" t="s">
        <v>20</v>
      </c>
      <c r="B12" s="19">
        <v>1000</v>
      </c>
      <c r="C12" s="2"/>
      <c r="D12" s="2">
        <v>8</v>
      </c>
      <c r="E12" s="17">
        <f t="shared" si="0"/>
        <v>4.1206781006658453</v>
      </c>
      <c r="F12" s="17">
        <f>_xll.EuropeanCallOptionPricer($B$8,$B$5,$B$4,$B$10,$B$6,$B$13)</f>
        <v>4.4124619131014997</v>
      </c>
    </row>
    <row r="13" spans="1:6">
      <c r="A13" s="3" t="s">
        <v>21</v>
      </c>
      <c r="B13" s="19">
        <v>100000</v>
      </c>
      <c r="C13" s="2"/>
      <c r="D13" s="9">
        <v>9</v>
      </c>
      <c r="E13" s="17">
        <f t="shared" si="0"/>
        <v>4.5200760005018186</v>
      </c>
      <c r="F13" s="17">
        <f>_xll.EuropeanCallOptionPricer($B$8,$B$5,$B$4,$B$10,$B$6,$B$13)</f>
        <v>4.4677008571256875</v>
      </c>
    </row>
    <row r="14" spans="1:6">
      <c r="C14" s="2"/>
      <c r="D14" s="2">
        <v>10</v>
      </c>
      <c r="E14" s="17">
        <f t="shared" si="0"/>
        <v>3.9998688989189572</v>
      </c>
      <c r="F14" s="17">
        <f>_xll.EuropeanCallOptionPricer($B$8,$B$5,$B$4,$B$10,$B$6,$B$13)</f>
        <v>4.4031906952328601</v>
      </c>
    </row>
    <row r="15" spans="1:6">
      <c r="A15" s="2"/>
      <c r="B15" s="2"/>
      <c r="C15" s="2"/>
      <c r="D15" s="9">
        <v>11</v>
      </c>
      <c r="E15" s="17">
        <f t="shared" si="0"/>
        <v>4.7016869339632681</v>
      </c>
      <c r="F15" s="17">
        <f>_xll.EuropeanCallOptionPricer($B$8,$B$5,$B$4,$B$10,$B$6,$B$13)</f>
        <v>4.4291516595415157</v>
      </c>
    </row>
    <row r="16" spans="1:6">
      <c r="A16" s="2"/>
      <c r="B16" s="5"/>
      <c r="C16" s="2"/>
      <c r="D16" s="2">
        <v>12</v>
      </c>
      <c r="E16" s="17">
        <f t="shared" si="0"/>
        <v>4.681217225717476</v>
      </c>
      <c r="F16" s="17">
        <f>_xll.EuropeanCallOptionPricer($B$8,$B$5,$B$4,$B$10,$B$6,$B$13)</f>
        <v>4.415985262776668</v>
      </c>
    </row>
    <row r="17" spans="1:6">
      <c r="C17" s="2"/>
      <c r="D17" s="9">
        <v>13</v>
      </c>
      <c r="E17" s="17">
        <f t="shared" si="0"/>
        <v>4.811285884429366</v>
      </c>
      <c r="F17" s="17">
        <f>_xll.EuropeanCallOptionPricer($B$8,$B$5,$B$4,$B$10,$B$6,$B$13)</f>
        <v>4.4291200438187595</v>
      </c>
    </row>
    <row r="18" spans="1:6">
      <c r="A18" s="2"/>
      <c r="B18" s="7"/>
      <c r="C18" s="2"/>
      <c r="D18" s="2">
        <v>14</v>
      </c>
      <c r="E18" s="17">
        <f t="shared" si="0"/>
        <v>4.6647150903692651</v>
      </c>
      <c r="F18" s="17">
        <f>_xll.EuropeanCallOptionPricer($B$8,$B$5,$B$4,$B$10,$B$6,$B$13)</f>
        <v>4.4908615034901569</v>
      </c>
    </row>
    <row r="19" spans="1:6">
      <c r="D19" s="9">
        <v>15</v>
      </c>
      <c r="E19" s="17">
        <f t="shared" si="0"/>
        <v>4.7243058401354556</v>
      </c>
      <c r="F19" s="17">
        <f>_xll.EuropeanCallOptionPricer($B$8,$B$5,$B$4,$B$10,$B$6,$B$13)</f>
        <v>4.468723074622889</v>
      </c>
    </row>
    <row r="20" spans="1:6">
      <c r="D20" s="2">
        <v>16</v>
      </c>
      <c r="E20" s="17">
        <f t="shared" si="0"/>
        <v>4.3067160855180582</v>
      </c>
      <c r="F20" s="17">
        <f>_xll.EuropeanCallOptionPricer($B$8,$B$5,$B$4,$B$10,$B$6,$B$13)</f>
        <v>4.4524530995624572</v>
      </c>
    </row>
    <row r="21" spans="1:6">
      <c r="D21" s="9">
        <v>17</v>
      </c>
      <c r="E21" s="17">
        <f t="shared" si="0"/>
        <v>4.1945957094715549</v>
      </c>
      <c r="F21" s="17">
        <f>_xll.EuropeanCallOptionPricer($B$8,$B$5,$B$4,$B$10,$B$6,$B$13)</f>
        <v>4.4659706578875031</v>
      </c>
    </row>
    <row r="22" spans="1:6">
      <c r="D22" s="2">
        <v>18</v>
      </c>
      <c r="E22" s="17">
        <f t="shared" si="0"/>
        <v>4.475301019524041</v>
      </c>
      <c r="F22" s="17">
        <f>_xll.EuropeanCallOptionPricer($B$8,$B$5,$B$4,$B$10,$B$6,$B$13)</f>
        <v>4.4410596387051688</v>
      </c>
    </row>
    <row r="23" spans="1:6">
      <c r="D23" s="9">
        <v>19</v>
      </c>
      <c r="E23" s="17">
        <f t="shared" si="0"/>
        <v>4.2483622023268417</v>
      </c>
      <c r="F23" s="17">
        <f>_xll.EuropeanCallOptionPricer($B$8,$B$5,$B$4,$B$10,$B$6,$B$13)</f>
        <v>4.4973924074101843</v>
      </c>
    </row>
    <row r="24" spans="1:6">
      <c r="D24" s="2">
        <v>20</v>
      </c>
      <c r="E24" s="17">
        <f t="shared" si="0"/>
        <v>4.666134457674767</v>
      </c>
      <c r="F24" s="17">
        <f>_xll.EuropeanCallOptionPricer($B$8,$B$5,$B$4,$B$10,$B$6,$B$13)</f>
        <v>4.4828661536949221</v>
      </c>
    </row>
    <row r="25" spans="1:6">
      <c r="D25" s="9">
        <v>21</v>
      </c>
      <c r="E25" s="17">
        <f t="shared" si="0"/>
        <v>4.9838811911939587</v>
      </c>
      <c r="F25" s="17">
        <f>_xll.EuropeanCallOptionPricer($B$8,$B$5,$B$4,$B$10,$B$6,$B$13)</f>
        <v>4.4368460541339303</v>
      </c>
    </row>
    <row r="26" spans="1:6">
      <c r="D26" s="2">
        <v>22</v>
      </c>
      <c r="E26" s="17">
        <f t="shared" si="0"/>
        <v>4.1444300271971874</v>
      </c>
      <c r="F26" s="17">
        <f>_xll.EuropeanCallOptionPricer($B$8,$B$5,$B$4,$B$10,$B$6,$B$13)</f>
        <v>4.4961683859607477</v>
      </c>
    </row>
    <row r="27" spans="1:6">
      <c r="D27" s="9">
        <v>23</v>
      </c>
      <c r="E27" s="17">
        <f t="shared" si="0"/>
        <v>4.5325474421578615</v>
      </c>
      <c r="F27" s="17">
        <f>_xll.EuropeanCallOptionPricer($B$8,$B$5,$B$4,$B$10,$B$6,$B$13)</f>
        <v>4.4510304163010055</v>
      </c>
    </row>
    <row r="28" spans="1:6">
      <c r="D28" s="2">
        <v>24</v>
      </c>
      <c r="E28" s="17">
        <f t="shared" si="0"/>
        <v>4.3644672640333368</v>
      </c>
      <c r="F28" s="17">
        <f>_xll.EuropeanCallOptionPricer($B$8,$B$5,$B$4,$B$10,$B$6,$B$13)</f>
        <v>4.4493923588205382</v>
      </c>
    </row>
    <row r="29" spans="1:6">
      <c r="D29" s="9">
        <v>25</v>
      </c>
      <c r="E29" s="17">
        <f t="shared" si="0"/>
        <v>4.4043685234365633</v>
      </c>
      <c r="F29" s="17">
        <f>_xll.EuropeanCallOptionPricer($B$8,$B$5,$B$4,$B$10,$B$6,$B$13)</f>
        <v>4.4430881127357962</v>
      </c>
    </row>
    <row r="30" spans="1:6">
      <c r="D30" s="2">
        <v>26</v>
      </c>
      <c r="E30" s="17">
        <f t="shared" si="0"/>
        <v>4.5730211029075862</v>
      </c>
      <c r="F30" s="17">
        <f>_xll.EuropeanCallOptionPricer($B$8,$B$5,$B$4,$B$10,$B$6,$B$13)</f>
        <v>4.4994565956121324</v>
      </c>
    </row>
    <row r="31" spans="1:6">
      <c r="D31" s="9">
        <v>27</v>
      </c>
      <c r="E31" s="17">
        <f t="shared" si="0"/>
        <v>4.5884989561624705</v>
      </c>
      <c r="F31" s="17">
        <f>_xll.EuropeanCallOptionPricer($B$8,$B$5,$B$4,$B$10,$B$6,$B$13)</f>
        <v>4.4489590078801386</v>
      </c>
    </row>
    <row r="32" spans="1:6">
      <c r="D32" s="2">
        <v>28</v>
      </c>
      <c r="E32" s="17">
        <f t="shared" si="0"/>
        <v>4.2024881799838214</v>
      </c>
      <c r="F32" s="17">
        <f>_xll.EuropeanCallOptionPricer($B$8,$B$5,$B$4,$B$10,$B$6,$B$13)</f>
        <v>4.484616641658862</v>
      </c>
    </row>
    <row r="33" spans="4:6">
      <c r="D33" s="9">
        <v>29</v>
      </c>
      <c r="E33" s="17">
        <f t="shared" si="0"/>
        <v>4.3637211839099468</v>
      </c>
      <c r="F33" s="17">
        <f>_xll.EuropeanCallOptionPricer($B$8,$B$5,$B$4,$B$10,$B$6,$B$13)</f>
        <v>4.4360999820799414</v>
      </c>
    </row>
    <row r="34" spans="4:6">
      <c r="D34" s="2">
        <v>30</v>
      </c>
      <c r="E34" s="17">
        <f t="shared" si="0"/>
        <v>4.3003183467817587</v>
      </c>
      <c r="F34" s="17">
        <f>_xll.EuropeanCallOptionPricer($B$8,$B$5,$B$4,$B$10,$B$6,$B$13)</f>
        <v>4.390463590387502</v>
      </c>
    </row>
    <row r="35" spans="4:6">
      <c r="D35" s="9">
        <v>31</v>
      </c>
      <c r="E35" s="17">
        <f t="shared" si="0"/>
        <v>4.5546026199014102</v>
      </c>
      <c r="F35" s="17">
        <f>_xll.EuropeanCallOptionPricer($B$8,$B$5,$B$4,$B$10,$B$6,$B$13)</f>
        <v>4.4276770184232479</v>
      </c>
    </row>
    <row r="36" spans="4:6">
      <c r="D36" s="2">
        <v>32</v>
      </c>
      <c r="E36" s="17">
        <f t="shared" si="0"/>
        <v>4.4724532192772921</v>
      </c>
      <c r="F36" s="17">
        <f>_xll.EuropeanCallOptionPricer($B$8,$B$5,$B$4,$B$10,$B$6,$B$13)</f>
        <v>4.3988963006033304</v>
      </c>
    </row>
    <row r="37" spans="4:6">
      <c r="D37" s="9">
        <v>33</v>
      </c>
      <c r="E37" s="17">
        <f t="shared" si="0"/>
        <v>4.5649515189871979</v>
      </c>
      <c r="F37" s="17">
        <f>_xll.EuropeanCallOptionPricer($B$8,$B$5,$B$4,$B$10,$B$6,$B$13)</f>
        <v>4.440282906258501</v>
      </c>
    </row>
    <row r="38" spans="4:6">
      <c r="D38" s="2">
        <v>34</v>
      </c>
      <c r="E38" s="17">
        <f t="shared" si="0"/>
        <v>4.4542052116928748</v>
      </c>
      <c r="F38" s="17">
        <f>_xll.EuropeanCallOptionPricer($B$8,$B$5,$B$4,$B$10,$B$6,$B$13)</f>
        <v>4.499475733979458</v>
      </c>
    </row>
    <row r="39" spans="4:6">
      <c r="D39" s="9">
        <v>35</v>
      </c>
      <c r="E39" s="17">
        <f t="shared" si="0"/>
        <v>4.4344376395610903</v>
      </c>
      <c r="F39" s="17">
        <f>_xll.EuropeanCallOptionPricer($B$8,$B$5,$B$4,$B$10,$B$6,$B$13)</f>
        <v>4.4397841195406071</v>
      </c>
    </row>
    <row r="40" spans="4:6">
      <c r="D40" s="2">
        <v>36</v>
      </c>
      <c r="E40" s="17">
        <f t="shared" si="0"/>
        <v>4.8090967725697054</v>
      </c>
      <c r="F40" s="17">
        <f>_xll.EuropeanCallOptionPricer($B$8,$B$5,$B$4,$B$10,$B$6,$B$13)</f>
        <v>4.4485280991764755</v>
      </c>
    </row>
    <row r="41" spans="4:6">
      <c r="D41" s="9">
        <v>37</v>
      </c>
      <c r="E41" s="17">
        <f t="shared" si="0"/>
        <v>4.5657221580912601</v>
      </c>
      <c r="F41" s="17">
        <f>_xll.EuropeanCallOptionPricer($B$8,$B$5,$B$4,$B$10,$B$6,$B$13)</f>
        <v>4.464003507320407</v>
      </c>
    </row>
    <row r="42" spans="4:6">
      <c r="D42" s="2">
        <v>38</v>
      </c>
      <c r="E42" s="17">
        <f t="shared" si="0"/>
        <v>4.7196769807979111</v>
      </c>
      <c r="F42" s="17">
        <f>_xll.EuropeanCallOptionPricer($B$8,$B$5,$B$4,$B$10,$B$6,$B$13)</f>
        <v>4.4472408410351543</v>
      </c>
    </row>
    <row r="43" spans="4:6">
      <c r="D43" s="9">
        <v>39</v>
      </c>
      <c r="E43" s="17">
        <f t="shared" si="0"/>
        <v>4.5547033508442167</v>
      </c>
      <c r="F43" s="17">
        <f>_xll.EuropeanCallOptionPricer($B$8,$B$5,$B$4,$B$10,$B$6,$B$13)</f>
        <v>4.4419392013793848</v>
      </c>
    </row>
    <row r="44" spans="4:6">
      <c r="D44" s="2">
        <v>40</v>
      </c>
      <c r="E44" s="17">
        <f t="shared" si="0"/>
        <v>4.130432679903425</v>
      </c>
      <c r="F44" s="17">
        <f>_xll.EuropeanCallOptionPricer($B$8,$B$5,$B$4,$B$10,$B$6,$B$13)</f>
        <v>4.5093341869916381</v>
      </c>
    </row>
    <row r="45" spans="4:6">
      <c r="D45" s="9">
        <v>41</v>
      </c>
      <c r="E45" s="17">
        <f t="shared" si="0"/>
        <v>4.1154280742860925</v>
      </c>
      <c r="F45" s="17">
        <f>_xll.EuropeanCallOptionPricer($B$8,$B$5,$B$4,$B$10,$B$6,$B$13)</f>
        <v>4.46624328216775</v>
      </c>
    </row>
    <row r="46" spans="4:6">
      <c r="D46" s="2">
        <v>42</v>
      </c>
      <c r="E46" s="17">
        <f t="shared" si="0"/>
        <v>4.4440713659752848</v>
      </c>
      <c r="F46" s="17">
        <f>_xll.EuropeanCallOptionPricer($B$8,$B$5,$B$4,$B$10,$B$6,$B$13)</f>
        <v>4.4479374841450596</v>
      </c>
    </row>
    <row r="47" spans="4:6">
      <c r="D47" s="9">
        <v>43</v>
      </c>
      <c r="E47" s="17">
        <f t="shared" si="0"/>
        <v>4.1132136295955961</v>
      </c>
      <c r="F47" s="17">
        <f>_xll.EuropeanCallOptionPricer($B$8,$B$5,$B$4,$B$10,$B$6,$B$13)</f>
        <v>4.4895366975384343</v>
      </c>
    </row>
    <row r="48" spans="4:6">
      <c r="D48" s="2">
        <v>44</v>
      </c>
      <c r="E48" s="17">
        <f t="shared" si="0"/>
        <v>4.3121816341895416</v>
      </c>
      <c r="F48" s="17">
        <f>_xll.EuropeanCallOptionPricer($B$8,$B$5,$B$4,$B$10,$B$6,$B$13)</f>
        <v>4.4894319860750604</v>
      </c>
    </row>
    <row r="49" spans="4:7">
      <c r="D49" s="9">
        <v>45</v>
      </c>
      <c r="E49" s="17">
        <f t="shared" si="0"/>
        <v>4.2435354486442307</v>
      </c>
      <c r="F49" s="17">
        <f>_xll.EuropeanCallOptionPricer($B$8,$B$5,$B$4,$B$10,$B$6,$B$13)</f>
        <v>4.446796159655146</v>
      </c>
    </row>
    <row r="50" spans="4:7">
      <c r="D50" s="2">
        <v>46</v>
      </c>
      <c r="E50" s="17">
        <f t="shared" si="0"/>
        <v>4.4585045067320284</v>
      </c>
      <c r="F50" s="17">
        <f>_xll.EuropeanCallOptionPricer($B$8,$B$5,$B$4,$B$10,$B$6,$B$13)</f>
        <v>4.4699996655978556</v>
      </c>
    </row>
    <row r="51" spans="4:7">
      <c r="D51" s="9">
        <v>47</v>
      </c>
      <c r="E51" s="17">
        <f t="shared" si="0"/>
        <v>4.2477598735939379</v>
      </c>
      <c r="F51" s="17">
        <f>_xll.EuropeanCallOptionPricer($B$8,$B$5,$B$4,$B$10,$B$6,$B$13)</f>
        <v>4.456714595746833</v>
      </c>
    </row>
    <row r="52" spans="4:7">
      <c r="D52" s="2">
        <v>48</v>
      </c>
      <c r="E52" s="17">
        <f t="shared" si="0"/>
        <v>4.1040129622043429</v>
      </c>
      <c r="F52" s="17">
        <f>_xll.EuropeanCallOptionPricer($B$8,$B$5,$B$4,$B$10,$B$6,$B$13)</f>
        <v>4.4684658210345454</v>
      </c>
    </row>
    <row r="53" spans="4:7">
      <c r="D53" s="9">
        <v>49</v>
      </c>
      <c r="E53" s="17">
        <f t="shared" si="0"/>
        <v>4.5096765957638834</v>
      </c>
      <c r="F53" s="17">
        <f>_xll.EuropeanCallOptionPricer($B$8,$B$5,$B$4,$B$10,$B$6,$B$13)</f>
        <v>4.4476714183633774</v>
      </c>
    </row>
    <row r="54" spans="4:7">
      <c r="D54" s="2">
        <v>50</v>
      </c>
      <c r="E54" s="17">
        <f t="shared" si="0"/>
        <v>4.1496021849399671</v>
      </c>
      <c r="F54" s="17">
        <f>_xll.EuropeanCallOptionPricer($B$8,$B$5,$B$4,$B$10,$B$6,$B$13)</f>
        <v>4.4331404895271662</v>
      </c>
    </row>
    <row r="55" spans="4:7">
      <c r="D55" s="2" t="s">
        <v>9</v>
      </c>
      <c r="E55" s="16">
        <f>AVERAGE(E5:E54)</f>
        <v>4.4311856519961506</v>
      </c>
      <c r="F55" s="16">
        <f>AVERAGE(F5:F54)</f>
        <v>4.4541978053491285</v>
      </c>
    </row>
    <row r="56" spans="4:7">
      <c r="D56" s="2" t="s">
        <v>11</v>
      </c>
      <c r="E56" s="15">
        <f>STDEV(E5:E54)</f>
        <v>0.24575082987312108</v>
      </c>
      <c r="F56" s="15">
        <f>STDEV(F5:F54)</f>
        <v>2.8064548814244257E-2</v>
      </c>
      <c r="G56" s="9">
        <f>E56/F56</f>
        <v>8.7566285672260449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1"/>
  <dimension ref="A1:Q30"/>
  <sheetViews>
    <sheetView workbookViewId="0">
      <selection activeCell="A10" sqref="A10:B10"/>
    </sheetView>
  </sheetViews>
  <sheetFormatPr defaultRowHeight="14.25"/>
  <cols>
    <col min="1" max="1" width="13.875" customWidth="1"/>
    <col min="6" max="6" width="3.75" customWidth="1"/>
    <col min="7" max="7" width="5.75" customWidth="1"/>
    <col min="8" max="12" width="5.75" bestFit="1" customWidth="1"/>
    <col min="13" max="17" width="4.875" bestFit="1" customWidth="1"/>
  </cols>
  <sheetData>
    <row r="1" spans="1:17">
      <c r="A1" s="10" t="s">
        <v>34</v>
      </c>
      <c r="B1" s="11"/>
      <c r="C1" s="11"/>
      <c r="D1" s="11"/>
      <c r="E1" s="12"/>
    </row>
    <row r="2" spans="1:17">
      <c r="A2" s="2"/>
      <c r="B2" s="2"/>
      <c r="C2" s="2"/>
      <c r="D2" s="2"/>
      <c r="E2" s="2"/>
    </row>
    <row r="3" spans="1:17">
      <c r="A3" s="20" t="s">
        <v>4</v>
      </c>
      <c r="B3" s="4">
        <v>95</v>
      </c>
      <c r="C3" s="2"/>
      <c r="G3" s="30" t="s">
        <v>22</v>
      </c>
      <c r="H3" s="30"/>
      <c r="I3" s="30"/>
      <c r="J3" s="30"/>
      <c r="K3" s="30"/>
      <c r="L3" s="30"/>
      <c r="M3" s="30"/>
      <c r="N3" s="30"/>
      <c r="O3" s="30"/>
      <c r="P3" s="30"/>
      <c r="Q3" s="30"/>
    </row>
    <row r="4" spans="1:17">
      <c r="A4" s="2" t="s">
        <v>3</v>
      </c>
      <c r="B4" s="4">
        <v>100</v>
      </c>
      <c r="C4" s="2"/>
      <c r="G4" s="29">
        <v>95</v>
      </c>
      <c r="H4" s="29">
        <v>96</v>
      </c>
      <c r="I4" s="29">
        <v>97</v>
      </c>
      <c r="J4" s="29">
        <v>98</v>
      </c>
      <c r="K4" s="29">
        <v>99</v>
      </c>
      <c r="L4" s="29">
        <v>100</v>
      </c>
      <c r="M4" s="29">
        <v>101</v>
      </c>
      <c r="N4" s="29">
        <v>102</v>
      </c>
      <c r="O4" s="29">
        <v>103</v>
      </c>
      <c r="P4" s="29">
        <v>104</v>
      </c>
      <c r="Q4" s="29">
        <v>105</v>
      </c>
    </row>
    <row r="5" spans="1:17">
      <c r="A5" s="3" t="s">
        <v>5</v>
      </c>
      <c r="B5" s="6">
        <v>0.06</v>
      </c>
      <c r="C5" s="2"/>
      <c r="E5" s="27"/>
      <c r="F5" s="27">
        <v>95</v>
      </c>
      <c r="G5" s="28">
        <f>BSOptionValue(1, $F5, G$4,$B$5,$B$6,$B$7,$B$8)</f>
        <v>6.7981012533037699</v>
      </c>
      <c r="H5" s="28">
        <f>BSOptionValue(1, $F5, H$4,$B$5,$B$6,$B$7,$B$8)</f>
        <v>6.2725673097496681</v>
      </c>
      <c r="I5" s="28">
        <f>BSOptionValue(1, $F5, I$4,$B$5,$B$6,$B$7,$B$8)</f>
        <v>5.7754724777437545</v>
      </c>
      <c r="J5" s="28">
        <f t="shared" ref="J5:Q15" si="0">BSOptionValue(1, $F5, J$4,$B$5,$B$6,$B$7,$B$8)</f>
        <v>5.306587629953107</v>
      </c>
      <c r="K5" s="28">
        <f t="shared" si="0"/>
        <v>4.8655403486008453</v>
      </c>
      <c r="L5" s="28">
        <f t="shared" si="0"/>
        <v>4.4518249920284632</v>
      </c>
      <c r="M5" s="28">
        <f t="shared" si="0"/>
        <v>4.0648142357548096</v>
      </c>
      <c r="N5" s="28">
        <f t="shared" si="0"/>
        <v>3.7037717382691966</v>
      </c>
      <c r="O5" s="28">
        <f t="shared" si="0"/>
        <v>3.3678655852129893</v>
      </c>
      <c r="P5" s="28">
        <f t="shared" si="0"/>
        <v>3.0561821791728754</v>
      </c>
      <c r="Q5" s="28">
        <f t="shared" si="0"/>
        <v>2.7677402643089586</v>
      </c>
    </row>
    <row r="6" spans="1:17">
      <c r="A6" s="3" t="s">
        <v>0</v>
      </c>
      <c r="B6" s="6">
        <v>0</v>
      </c>
      <c r="C6" s="2"/>
      <c r="E6" s="27"/>
      <c r="F6" s="27">
        <v>96</v>
      </c>
      <c r="G6" s="28">
        <f t="shared" ref="G6:I15" si="1">BSOptionValue(1, $F6, G$4,$B$5,$B$6,$B$7,$B$8)</f>
        <v>7.4235624674817231</v>
      </c>
      <c r="H6" s="28">
        <f t="shared" si="1"/>
        <v>6.8696602138648615</v>
      </c>
      <c r="I6" s="28">
        <f t="shared" si="1"/>
        <v>6.3439778790710264</v>
      </c>
      <c r="J6" s="28">
        <f t="shared" si="0"/>
        <v>5.8464402596976157</v>
      </c>
      <c r="K6" s="28">
        <f t="shared" si="0"/>
        <v>5.3768252177768048</v>
      </c>
      <c r="L6" s="28">
        <f t="shared" si="0"/>
        <v>4.9347715644895942</v>
      </c>
      <c r="M6" s="28">
        <f t="shared" si="0"/>
        <v>4.5197886739548849</v>
      </c>
      <c r="N6" s="28">
        <f t="shared" si="0"/>
        <v>4.1312675066514259</v>
      </c>
      <c r="O6" s="28">
        <f t="shared" si="0"/>
        <v>3.7684927140238642</v>
      </c>
      <c r="P6" s="28">
        <f t="shared" si="0"/>
        <v>3.4306554985843221</v>
      </c>
      <c r="Q6" s="28">
        <f t="shared" si="0"/>
        <v>3.1168669159890179</v>
      </c>
    </row>
    <row r="7" spans="1:17">
      <c r="A7" s="3" t="s">
        <v>1</v>
      </c>
      <c r="B7" s="8">
        <v>0.5</v>
      </c>
      <c r="C7" s="2"/>
      <c r="E7" s="27"/>
      <c r="F7" s="27">
        <v>97</v>
      </c>
      <c r="G7" s="28">
        <f t="shared" si="1"/>
        <v>8.0765870660724772</v>
      </c>
      <c r="H7" s="28">
        <f t="shared" si="1"/>
        <v>7.4949760955947013</v>
      </c>
      <c r="I7" s="28">
        <f t="shared" si="1"/>
        <v>6.9412191744259601</v>
      </c>
      <c r="J7" s="28">
        <f t="shared" si="0"/>
        <v>6.4153915039507297</v>
      </c>
      <c r="K7" s="28">
        <f t="shared" si="0"/>
        <v>5.9174201671584399</v>
      </c>
      <c r="L7" s="28">
        <f t="shared" si="0"/>
        <v>5.4470897343888609</v>
      </c>
      <c r="M7" s="28">
        <f t="shared" si="0"/>
        <v>5.0040498001772846</v>
      </c>
      <c r="N7" s="28">
        <f t="shared" si="0"/>
        <v>4.5878241690281953</v>
      </c>
      <c r="O7" s="28">
        <f t="shared" si="0"/>
        <v>4.1978213892631047</v>
      </c>
      <c r="P7" s="28">
        <f t="shared" si="0"/>
        <v>3.833346326320914</v>
      </c>
      <c r="Q7" s="28">
        <f t="shared" si="0"/>
        <v>3.4936124690766306</v>
      </c>
    </row>
    <row r="8" spans="1:17">
      <c r="A8" s="3" t="s">
        <v>2</v>
      </c>
      <c r="B8" s="6">
        <v>0.2</v>
      </c>
      <c r="C8" s="2"/>
      <c r="E8" s="27"/>
      <c r="F8" s="27">
        <v>98</v>
      </c>
      <c r="G8" s="28">
        <f t="shared" si="1"/>
        <v>8.7561167124253387</v>
      </c>
      <c r="H8" s="28">
        <f t="shared" si="1"/>
        <v>8.1475788281248143</v>
      </c>
      <c r="I8" s="28">
        <f t="shared" si="1"/>
        <v>7.5663926857285375</v>
      </c>
      <c r="J8" s="28">
        <f t="shared" si="0"/>
        <v>7.0127781349870588</v>
      </c>
      <c r="K8" s="28">
        <f t="shared" si="0"/>
        <v>6.4868080910136499</v>
      </c>
      <c r="L8" s="28">
        <f t="shared" si="0"/>
        <v>5.9884118314752115</v>
      </c>
      <c r="M8" s="28">
        <f t="shared" si="0"/>
        <v>5.5173803679310396</v>
      </c>
      <c r="N8" s="28">
        <f t="shared" si="0"/>
        <v>5.0733736544888188</v>
      </c>
      <c r="O8" s="28">
        <f t="shared" si="0"/>
        <v>4.6559293687352508</v>
      </c>
      <c r="P8" s="28">
        <f t="shared" si="0"/>
        <v>4.264472982299047</v>
      </c>
      <c r="Q8" s="28">
        <f t="shared" si="0"/>
        <v>3.89832883088242</v>
      </c>
    </row>
    <row r="9" spans="1:17">
      <c r="E9" s="27"/>
      <c r="F9" s="27">
        <v>99</v>
      </c>
      <c r="G9" s="28">
        <f t="shared" si="1"/>
        <v>9.4610095652162514</v>
      </c>
      <c r="H9" s="28">
        <f t="shared" si="1"/>
        <v>8.8264333823481849</v>
      </c>
      <c r="I9" s="28">
        <f t="shared" si="1"/>
        <v>8.2185819883039386</v>
      </c>
      <c r="J9" s="28">
        <f t="shared" si="0"/>
        <v>7.6378121482824923</v>
      </c>
      <c r="K9" s="28">
        <f t="shared" si="0"/>
        <v>7.0843370955481433</v>
      </c>
      <c r="L9" s="28">
        <f t="shared" si="0"/>
        <v>6.5582275506493204</v>
      </c>
      <c r="M9" s="28">
        <f t="shared" si="0"/>
        <v>6.059414898766903</v>
      </c>
      <c r="N9" s="28">
        <f t="shared" si="0"/>
        <v>5.5876963387370537</v>
      </c>
      <c r="O9" s="28">
        <f t="shared" si="0"/>
        <v>5.1427417810135765</v>
      </c>
      <c r="P9" s="28">
        <f t="shared" si="0"/>
        <v>4.7241022454579209</v>
      </c>
      <c r="Q9" s="28">
        <f t="shared" si="0"/>
        <v>4.3312194932610808</v>
      </c>
    </row>
    <row r="10" spans="1:17">
      <c r="A10" s="2"/>
      <c r="E10" s="27" t="s">
        <v>23</v>
      </c>
      <c r="F10" s="27">
        <v>100</v>
      </c>
      <c r="G10" s="28">
        <f t="shared" si="1"/>
        <v>10.190058437885881</v>
      </c>
      <c r="H10" s="28">
        <f t="shared" si="1"/>
        <v>9.5304234375521233</v>
      </c>
      <c r="I10" s="28">
        <f t="shared" si="1"/>
        <v>8.8967746062651969</v>
      </c>
      <c r="J10" s="28">
        <f t="shared" si="0"/>
        <v>8.2895962070532718</v>
      </c>
      <c r="K10" s="28">
        <f t="shared" si="0"/>
        <v>7.7092343972319881</v>
      </c>
      <c r="L10" s="28">
        <f t="shared" si="0"/>
        <v>7.1558960561092348</v>
      </c>
      <c r="M10" s="28">
        <f t="shared" si="0"/>
        <v>6.6296497968241894</v>
      </c>
      <c r="N10" s="28">
        <f t="shared" si="0"/>
        <v>6.1304290291912409</v>
      </c>
      <c r="O10" s="28">
        <f t="shared" si="0"/>
        <v>5.6580368977584357</v>
      </c>
      <c r="P10" s="28">
        <f t="shared" si="0"/>
        <v>5.2121528854732233</v>
      </c>
      <c r="Q10" s="28">
        <f t="shared" si="0"/>
        <v>4.7923408486717705</v>
      </c>
    </row>
    <row r="11" spans="1:17">
      <c r="E11" s="27"/>
      <c r="F11" s="27">
        <v>101</v>
      </c>
      <c r="G11" s="28">
        <f t="shared" si="1"/>
        <v>10.942008389599323</v>
      </c>
      <c r="H11" s="28">
        <f t="shared" si="1"/>
        <v>10.258368807217366</v>
      </c>
      <c r="I11" s="28">
        <f t="shared" si="1"/>
        <v>9.5998789096502577</v>
      </c>
      <c r="J11" s="28">
        <f t="shared" si="0"/>
        <v>8.9671396662511782</v>
      </c>
      <c r="K11" s="28">
        <f t="shared" si="0"/>
        <v>8.3606211581473104</v>
      </c>
      <c r="L11" s="28">
        <f t="shared" si="0"/>
        <v>7.7806593499522094</v>
      </c>
      <c r="M11" s="28">
        <f t="shared" si="0"/>
        <v>7.2274550166703264</v>
      </c>
      <c r="N11" s="28">
        <f t="shared" si="0"/>
        <v>6.7010747469050216</v>
      </c>
      <c r="O11" s="28">
        <f t="shared" si="0"/>
        <v>6.2014538962566164</v>
      </c>
      <c r="P11" s="28">
        <f t="shared" si="0"/>
        <v>5.7284013250813857</v>
      </c>
      <c r="Q11" s="28">
        <f t="shared" si="0"/>
        <v>5.2816057232388331</v>
      </c>
    </row>
    <row r="12" spans="1:17">
      <c r="A12" t="s">
        <v>12</v>
      </c>
      <c r="B12">
        <f>MAX(G5:Q15)</f>
        <v>14.152951766934891</v>
      </c>
      <c r="E12" s="27"/>
      <c r="F12" s="27">
        <v>102</v>
      </c>
      <c r="G12" s="28">
        <f t="shared" si="1"/>
        <v>11.715573439267729</v>
      </c>
      <c r="H12" s="28">
        <f t="shared" si="1"/>
        <v>11.009042335095288</v>
      </c>
      <c r="I12" s="28">
        <f t="shared" si="1"/>
        <v>10.326740843024993</v>
      </c>
      <c r="J12" s="28">
        <f t="shared" si="0"/>
        <v>9.6693747918321549</v>
      </c>
      <c r="K12" s="28">
        <f t="shared" si="0"/>
        <v>9.03752787198421</v>
      </c>
      <c r="L12" s="28">
        <f t="shared" si="0"/>
        <v>8.4316565280450106</v>
      </c>
      <c r="M12" s="28">
        <f t="shared" si="0"/>
        <v>7.8520869270517579</v>
      </c>
      <c r="N12" s="28">
        <f t="shared" si="0"/>
        <v>7.299013977231418</v>
      </c>
      <c r="O12" s="28">
        <f t="shared" si="0"/>
        <v>6.7725023214925599</v>
      </c>
      <c r="P12" s="28">
        <f t="shared" si="0"/>
        <v>6.2724891861737078</v>
      </c>
      <c r="Q12" s="28">
        <f t="shared" si="0"/>
        <v>5.798788928528829</v>
      </c>
    </row>
    <row r="13" spans="1:17">
      <c r="A13" t="s">
        <v>13</v>
      </c>
      <c r="B13">
        <f>MIN(G5:Q15)</f>
        <v>2.7677402643089586</v>
      </c>
      <c r="E13" s="27"/>
      <c r="F13" s="27">
        <v>103</v>
      </c>
      <c r="G13" s="28">
        <f t="shared" si="1"/>
        <v>12.509452153615968</v>
      </c>
      <c r="H13" s="28">
        <f t="shared" si="1"/>
        <v>11.781185969862136</v>
      </c>
      <c r="I13" s="28">
        <f t="shared" si="1"/>
        <v>11.076160160239723</v>
      </c>
      <c r="J13" s="28">
        <f t="shared" si="0"/>
        <v>10.395172826468652</v>
      </c>
      <c r="K13" s="28">
        <f t="shared" si="0"/>
        <v>9.7389099390082166</v>
      </c>
      <c r="L13" s="28">
        <f t="shared" si="0"/>
        <v>9.1079385594373932</v>
      </c>
      <c r="M13" s="28">
        <f t="shared" si="0"/>
        <v>8.5027020152802635</v>
      </c>
      <c r="N13" s="28">
        <f t="shared" si="0"/>
        <v>7.9235170522160772</v>
      </c>
      <c r="O13" s="28">
        <f t="shared" si="0"/>
        <v>7.3705729377925095</v>
      </c>
      <c r="P13" s="28">
        <f t="shared" si="0"/>
        <v>6.8439324442650076</v>
      </c>
      <c r="Q13" s="28">
        <f t="shared" si="0"/>
        <v>6.3435345972447053</v>
      </c>
    </row>
    <row r="14" spans="1:17">
      <c r="B14" s="2"/>
      <c r="E14" s="27"/>
      <c r="F14" s="27">
        <v>104</v>
      </c>
      <c r="G14" s="28">
        <f t="shared" si="1"/>
        <v>13.32234191943266</v>
      </c>
      <c r="H14" s="28">
        <f t="shared" si="1"/>
        <v>12.573525781872391</v>
      </c>
      <c r="I14" s="28">
        <f t="shared" si="1"/>
        <v>11.846905889360983</v>
      </c>
      <c r="J14" s="28">
        <f t="shared" si="0"/>
        <v>11.143359594644437</v>
      </c>
      <c r="K14" s="28">
        <f t="shared" si="0"/>
        <v>10.463663101193433</v>
      </c>
      <c r="L14" s="28">
        <f t="shared" si="0"/>
        <v>9.8084832486251372</v>
      </c>
      <c r="M14" s="28">
        <f t="shared" si="0"/>
        <v>9.1783710896436617</v>
      </c>
      <c r="N14" s="28">
        <f t="shared" si="0"/>
        <v>8.5737573298870871</v>
      </c>
      <c r="O14" s="28">
        <f t="shared" si="0"/>
        <v>7.9949496520599652</v>
      </c>
      <c r="P14" s="28">
        <f t="shared" si="0"/>
        <v>7.4421318983536082</v>
      </c>
      <c r="Q14" s="28">
        <f t="shared" si="0"/>
        <v>6.9153650418302632</v>
      </c>
    </row>
    <row r="15" spans="1:17">
      <c r="E15" s="27"/>
      <c r="F15" s="27">
        <v>105</v>
      </c>
      <c r="G15" s="28">
        <f t="shared" si="1"/>
        <v>14.152951766934891</v>
      </c>
      <c r="H15" s="28">
        <f t="shared" si="1"/>
        <v>13.384785740583055</v>
      </c>
      <c r="I15" s="28">
        <f t="shared" si="1"/>
        <v>12.637730803138396</v>
      </c>
      <c r="J15" s="28">
        <f t="shared" si="0"/>
        <v>11.912730385912596</v>
      </c>
      <c r="K15" s="28">
        <f t="shared" si="0"/>
        <v>11.21063844753553</v>
      </c>
      <c r="L15" s="28">
        <f t="shared" si="0"/>
        <v>10.532210070555536</v>
      </c>
      <c r="M15" s="28">
        <f t="shared" si="0"/>
        <v>9.8780936587245662</v>
      </c>
      <c r="N15" s="28">
        <f t="shared" si="0"/>
        <v>9.2488248475294625</v>
      </c>
      <c r="O15" s="28">
        <f t="shared" si="0"/>
        <v>8.644822192857383</v>
      </c>
      <c r="P15" s="28">
        <f t="shared" si="0"/>
        <v>8.0663846559883154</v>
      </c>
      <c r="Q15" s="28">
        <f t="shared" si="0"/>
        <v>7.5136908589146927</v>
      </c>
    </row>
    <row r="18" spans="5:17">
      <c r="G18" s="30" t="s">
        <v>24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</row>
    <row r="19" spans="5:17">
      <c r="G19" s="29">
        <v>0.01</v>
      </c>
      <c r="H19" s="29">
        <v>0.05</v>
      </c>
      <c r="I19" s="29">
        <v>0.1</v>
      </c>
      <c r="J19" s="29">
        <v>0.2</v>
      </c>
      <c r="K19" s="29">
        <v>0.3</v>
      </c>
      <c r="L19" s="29">
        <v>0.4</v>
      </c>
      <c r="M19" s="29">
        <v>0.5</v>
      </c>
      <c r="N19" s="29">
        <v>0.6</v>
      </c>
      <c r="O19" s="29">
        <v>0.7</v>
      </c>
      <c r="P19" s="29">
        <v>0.8</v>
      </c>
      <c r="Q19" s="29">
        <v>0.9</v>
      </c>
    </row>
    <row r="20" spans="5:17">
      <c r="E20" s="27"/>
      <c r="F20" s="27">
        <v>90</v>
      </c>
      <c r="G20" s="2">
        <f>BSOptionValue(1, $F20, $B$4,$B$5,$B$6,G$19,$B$8)</f>
        <v>2.7554492025793048E-8</v>
      </c>
      <c r="H20" s="2">
        <f t="shared" ref="H20:Q30" si="2">BSOptionValue(1, $F20, $B$4,$B$5,$B$6,H$19,$B$8)</f>
        <v>1.6022279461098909E-2</v>
      </c>
      <c r="I20" s="2">
        <f t="shared" si="2"/>
        <v>0.14875976970557936</v>
      </c>
      <c r="J20" s="2">
        <f t="shared" si="2"/>
        <v>0.64562432256278157</v>
      </c>
      <c r="K20" s="2">
        <f t="shared" si="2"/>
        <v>1.2424276095257447</v>
      </c>
      <c r="L20" s="2">
        <f t="shared" si="2"/>
        <v>1.8610227050540153</v>
      </c>
      <c r="M20" s="2">
        <f t="shared" si="2"/>
        <v>2.4794130303420729</v>
      </c>
      <c r="N20" s="2">
        <f t="shared" si="2"/>
        <v>3.0904022451377848</v>
      </c>
      <c r="O20" s="2">
        <f t="shared" si="2"/>
        <v>3.6916327293491022</v>
      </c>
      <c r="P20" s="2">
        <f t="shared" si="2"/>
        <v>4.2825469076459655</v>
      </c>
      <c r="Q20" s="2">
        <f t="shared" si="2"/>
        <v>4.863297979575627</v>
      </c>
    </row>
    <row r="21" spans="5:17">
      <c r="E21" s="27"/>
      <c r="F21" s="27">
        <v>92</v>
      </c>
      <c r="G21" s="2">
        <f t="shared" ref="G21:G30" si="3">BSOptionValue(1, $F21, $B$4,$B$5,$B$6,G$19,$B$8)</f>
        <v>7.3316921097418743E-6</v>
      </c>
      <c r="H21" s="2">
        <f t="shared" si="2"/>
        <v>6.1535120979050006E-2</v>
      </c>
      <c r="I21" s="2">
        <f t="shared" si="2"/>
        <v>0.32316442750120622</v>
      </c>
      <c r="J21" s="2">
        <f t="shared" si="2"/>
        <v>1.0279782165280089</v>
      </c>
      <c r="K21" s="2">
        <f t="shared" si="2"/>
        <v>1.7639800219205419</v>
      </c>
      <c r="L21" s="2">
        <f t="shared" si="2"/>
        <v>2.4836367036271909</v>
      </c>
      <c r="M21" s="2">
        <f t="shared" si="2"/>
        <v>3.1805467934307643</v>
      </c>
      <c r="N21" s="2">
        <f t="shared" si="2"/>
        <v>3.8554846902523252</v>
      </c>
      <c r="O21" s="2">
        <f t="shared" si="2"/>
        <v>4.5105748925385214</v>
      </c>
      <c r="P21" s="2">
        <f t="shared" si="2"/>
        <v>5.1479913970973641</v>
      </c>
      <c r="Q21" s="2">
        <f t="shared" si="2"/>
        <v>5.7696605016633313</v>
      </c>
    </row>
    <row r="22" spans="5:17">
      <c r="E22" s="27"/>
      <c r="F22" s="27">
        <v>94</v>
      </c>
      <c r="G22" s="2">
        <f t="shared" si="3"/>
        <v>5.9030572863881525E-4</v>
      </c>
      <c r="H22" s="2">
        <f t="shared" si="2"/>
        <v>0.19026338216046135</v>
      </c>
      <c r="I22" s="2">
        <f t="shared" si="2"/>
        <v>0.6326209968959482</v>
      </c>
      <c r="J22" s="2">
        <f t="shared" si="2"/>
        <v>1.555904794818403</v>
      </c>
      <c r="K22" s="2">
        <f t="shared" si="2"/>
        <v>2.4218526552554529</v>
      </c>
      <c r="L22" s="2">
        <f t="shared" si="2"/>
        <v>3.2322217606243271</v>
      </c>
      <c r="M22" s="2">
        <f t="shared" si="2"/>
        <v>3.9984645919081814</v>
      </c>
      <c r="N22" s="2">
        <f t="shared" si="2"/>
        <v>4.7294686443721403</v>
      </c>
      <c r="O22" s="2">
        <f t="shared" si="2"/>
        <v>5.4316530274911443</v>
      </c>
      <c r="P22" s="2">
        <f t="shared" si="2"/>
        <v>6.1097152892115432</v>
      </c>
      <c r="Q22" s="2">
        <f t="shared" si="2"/>
        <v>6.7671809407071066</v>
      </c>
    </row>
    <row r="23" spans="5:17">
      <c r="E23" s="27"/>
      <c r="F23" s="27">
        <v>96</v>
      </c>
      <c r="G23" s="2">
        <f t="shared" si="3"/>
        <v>1.6144464153355464E-2</v>
      </c>
      <c r="H23" s="2">
        <f t="shared" si="2"/>
        <v>0.48478464407115496</v>
      </c>
      <c r="I23" s="2">
        <f t="shared" si="2"/>
        <v>1.1280679273117542</v>
      </c>
      <c r="J23" s="2">
        <f t="shared" si="2"/>
        <v>2.2495687173771444</v>
      </c>
      <c r="K23" s="2">
        <f t="shared" si="2"/>
        <v>3.2252615717358637</v>
      </c>
      <c r="L23" s="2">
        <f t="shared" si="2"/>
        <v>4.1110169428657883</v>
      </c>
      <c r="M23" s="2">
        <f t="shared" si="2"/>
        <v>4.9347715644895942</v>
      </c>
      <c r="N23" s="2">
        <f t="shared" si="2"/>
        <v>5.7124264708639672</v>
      </c>
      <c r="O23" s="2">
        <f t="shared" si="2"/>
        <v>6.4539902135103588</v>
      </c>
      <c r="P23" s="2">
        <f t="shared" si="2"/>
        <v>7.1662288239227649</v>
      </c>
      <c r="Q23" s="2">
        <f t="shared" si="2"/>
        <v>7.8539631550441484</v>
      </c>
    </row>
    <row r="24" spans="5:17">
      <c r="E24" s="27"/>
      <c r="F24" s="27">
        <v>98</v>
      </c>
      <c r="G24" s="2">
        <f t="shared" si="3"/>
        <v>0.17123449220149567</v>
      </c>
      <c r="H24" s="2">
        <f t="shared" si="2"/>
        <v>1.0420951277729245</v>
      </c>
      <c r="I24" s="2">
        <f t="shared" si="2"/>
        <v>1.851539453577395</v>
      </c>
      <c r="J24" s="2">
        <f t="shared" si="2"/>
        <v>3.1212692104764059</v>
      </c>
      <c r="K24" s="2">
        <f t="shared" si="2"/>
        <v>4.178182952244363</v>
      </c>
      <c r="L24" s="2">
        <f t="shared" si="2"/>
        <v>5.1206135058296312</v>
      </c>
      <c r="M24" s="2">
        <f t="shared" si="2"/>
        <v>5.9884118314752115</v>
      </c>
      <c r="N24" s="2">
        <f t="shared" si="2"/>
        <v>6.8024178126807655</v>
      </c>
      <c r="O24" s="2">
        <f t="shared" si="2"/>
        <v>7.5751449214313311</v>
      </c>
      <c r="P24" s="2">
        <f t="shared" si="2"/>
        <v>8.314800311808753</v>
      </c>
      <c r="Q24" s="2">
        <f t="shared" si="2"/>
        <v>9.0271091921839854</v>
      </c>
    </row>
    <row r="25" spans="5:17">
      <c r="E25" s="27" t="s">
        <v>23</v>
      </c>
      <c r="F25" s="27">
        <v>100</v>
      </c>
      <c r="G25" s="2">
        <f t="shared" si="3"/>
        <v>0.82798187063469442</v>
      </c>
      <c r="H25" s="2">
        <f t="shared" si="2"/>
        <v>1.9350844810034076</v>
      </c>
      <c r="I25" s="2">
        <f t="shared" si="2"/>
        <v>2.8255743399551392</v>
      </c>
      <c r="J25" s="2">
        <f t="shared" si="2"/>
        <v>4.1740416425125417</v>
      </c>
      <c r="K25" s="2">
        <f t="shared" si="2"/>
        <v>5.2792483701123061</v>
      </c>
      <c r="L25" s="2">
        <f t="shared" si="2"/>
        <v>6.2581262657697252</v>
      </c>
      <c r="M25" s="2">
        <f t="shared" si="2"/>
        <v>7.1558960561092348</v>
      </c>
      <c r="N25" s="2">
        <f t="shared" si="2"/>
        <v>7.9957143179194574</v>
      </c>
      <c r="O25" s="2">
        <f t="shared" si="2"/>
        <v>8.7913166235387763</v>
      </c>
      <c r="P25" s="2">
        <f t="shared" si="2"/>
        <v>9.5516394415244648</v>
      </c>
      <c r="Q25" s="2">
        <f t="shared" si="2"/>
        <v>10.282881297263451</v>
      </c>
    </row>
    <row r="26" spans="5:17">
      <c r="E26" s="27"/>
      <c r="F26" s="27">
        <v>102</v>
      </c>
      <c r="G26" s="2">
        <f t="shared" si="3"/>
        <v>2.221864178638981</v>
      </c>
      <c r="H26" s="2">
        <f t="shared" si="2"/>
        <v>3.1778004312546813</v>
      </c>
      <c r="I26" s="2">
        <f t="shared" si="2"/>
        <v>4.0479437567966272</v>
      </c>
      <c r="J26" s="2">
        <f t="shared" si="2"/>
        <v>5.4017357694235102</v>
      </c>
      <c r="K26" s="2">
        <f t="shared" si="2"/>
        <v>6.5221949257042127</v>
      </c>
      <c r="L26" s="2">
        <f t="shared" si="2"/>
        <v>7.5176171252153523</v>
      </c>
      <c r="M26" s="2">
        <f t="shared" si="2"/>
        <v>8.4316565280450106</v>
      </c>
      <c r="N26" s="2">
        <f t="shared" si="2"/>
        <v>9.287092693426402</v>
      </c>
      <c r="O26" s="2">
        <f t="shared" si="2"/>
        <v>10.097588805484619</v>
      </c>
      <c r="P26" s="2">
        <f t="shared" si="2"/>
        <v>10.872100730434738</v>
      </c>
      <c r="Q26" s="2">
        <f t="shared" si="2"/>
        <v>11.616873979478463</v>
      </c>
    </row>
    <row r="27" spans="5:17">
      <c r="E27" s="27"/>
      <c r="F27" s="27">
        <v>104</v>
      </c>
      <c r="G27" s="2">
        <f t="shared" si="3"/>
        <v>4.0777140987095066</v>
      </c>
      <c r="H27" s="2">
        <f t="shared" si="2"/>
        <v>4.7210461185369752</v>
      </c>
      <c r="I27" s="2">
        <f t="shared" si="2"/>
        <v>5.4936151314637129</v>
      </c>
      <c r="J27" s="2">
        <f t="shared" si="2"/>
        <v>6.7904152178734023</v>
      </c>
      <c r="K27" s="2">
        <f t="shared" si="2"/>
        <v>7.8967444642182443</v>
      </c>
      <c r="L27" s="2">
        <f t="shared" si="2"/>
        <v>8.8906950787709889</v>
      </c>
      <c r="M27" s="2">
        <f t="shared" si="2"/>
        <v>9.8084832486251372</v>
      </c>
      <c r="N27" s="2">
        <f t="shared" si="2"/>
        <v>10.670166244461974</v>
      </c>
      <c r="O27" s="2">
        <f t="shared" si="2"/>
        <v>11.488189500105427</v>
      </c>
      <c r="P27" s="2">
        <f t="shared" si="2"/>
        <v>12.270893466707051</v>
      </c>
      <c r="Q27" s="2">
        <f t="shared" si="2"/>
        <v>13.024186537408269</v>
      </c>
    </row>
    <row r="28" spans="5:17">
      <c r="E28" s="27"/>
      <c r="F28" s="27">
        <v>106</v>
      </c>
      <c r="G28" s="2">
        <f t="shared" si="3"/>
        <v>6.0609412292958496</v>
      </c>
      <c r="H28" s="2">
        <f t="shared" si="2"/>
        <v>6.4795452497820776</v>
      </c>
      <c r="I28" s="2">
        <f t="shared" si="2"/>
        <v>7.1224608003845589</v>
      </c>
      <c r="J28" s="2">
        <f t="shared" si="2"/>
        <v>8.320637766322406</v>
      </c>
      <c r="K28" s="2">
        <f t="shared" si="2"/>
        <v>9.3897381907508191</v>
      </c>
      <c r="L28" s="2">
        <f t="shared" si="2"/>
        <v>10.367208414049429</v>
      </c>
      <c r="M28" s="2">
        <f t="shared" si="2"/>
        <v>11.277994604372324</v>
      </c>
      <c r="N28" s="2">
        <f t="shared" si="2"/>
        <v>12.137727138176572</v>
      </c>
      <c r="O28" s="2">
        <f t="shared" si="2"/>
        <v>12.956751762522671</v>
      </c>
      <c r="P28" s="2">
        <f t="shared" si="2"/>
        <v>13.742286548664168</v>
      </c>
      <c r="Q28" s="2">
        <f t="shared" si="2"/>
        <v>14.499588170551604</v>
      </c>
    </row>
    <row r="29" spans="5:17">
      <c r="E29" s="27"/>
      <c r="F29" s="27">
        <v>108</v>
      </c>
      <c r="G29" s="2">
        <f t="shared" si="3"/>
        <v>8.0600073200424873</v>
      </c>
      <c r="H29" s="2">
        <f t="shared" si="2"/>
        <v>8.3678152210480619</v>
      </c>
      <c r="I29" s="2">
        <f t="shared" si="2"/>
        <v>8.8890832944596241</v>
      </c>
      <c r="J29" s="2">
        <f t="shared" si="2"/>
        <v>9.9700609051063509</v>
      </c>
      <c r="K29" s="2">
        <f t="shared" si="2"/>
        <v>10.986346213370041</v>
      </c>
      <c r="L29" s="2">
        <f t="shared" si="2"/>
        <v>11.935949758310315</v>
      </c>
      <c r="M29" s="2">
        <f t="shared" si="2"/>
        <v>12.831101605569344</v>
      </c>
      <c r="N29" s="2">
        <f t="shared" si="2"/>
        <v>13.682075969655074</v>
      </c>
      <c r="O29" s="2">
        <f t="shared" si="2"/>
        <v>14.496559811261292</v>
      </c>
      <c r="P29" s="2">
        <f t="shared" si="2"/>
        <v>15.280299123987788</v>
      </c>
      <c r="Q29" s="2">
        <f t="shared" si="2"/>
        <v>16.037669700728415</v>
      </c>
    </row>
    <row r="30" spans="5:17">
      <c r="E30" s="27"/>
      <c r="F30" s="27">
        <v>110</v>
      </c>
      <c r="G30" s="2">
        <f t="shared" si="3"/>
        <v>10.059982332671126</v>
      </c>
      <c r="H30" s="2">
        <f t="shared" si="2"/>
        <v>10.322545642252905</v>
      </c>
      <c r="I30" s="2">
        <f t="shared" si="2"/>
        <v>10.75118425356456</v>
      </c>
      <c r="J30" s="2">
        <f t="shared" si="2"/>
        <v>11.715868565037226</v>
      </c>
      <c r="K30" s="2">
        <f t="shared" si="2"/>
        <v>12.671197922371391</v>
      </c>
      <c r="L30" s="2">
        <f t="shared" si="2"/>
        <v>13.585309199751876</v>
      </c>
      <c r="M30" s="2">
        <f t="shared" si="2"/>
        <v>14.458433415031294</v>
      </c>
      <c r="N30" s="2">
        <f t="shared" si="2"/>
        <v>15.295320805274969</v>
      </c>
      <c r="O30" s="2">
        <f t="shared" si="2"/>
        <v>16.100770317612216</v>
      </c>
      <c r="P30" s="2">
        <f t="shared" si="2"/>
        <v>16.878870550277014</v>
      </c>
      <c r="Q30" s="2">
        <f t="shared" si="2"/>
        <v>17.632977806382556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Q30"/>
  <sheetViews>
    <sheetView workbookViewId="0">
      <selection activeCell="J24" sqref="J24"/>
    </sheetView>
  </sheetViews>
  <sheetFormatPr defaultRowHeight="14.25"/>
  <cols>
    <col min="1" max="1" width="13.875" customWidth="1"/>
    <col min="6" max="6" width="5.375" customWidth="1"/>
    <col min="7" max="13" width="5.75" bestFit="1" customWidth="1"/>
    <col min="14" max="17" width="4.875" bestFit="1" customWidth="1"/>
  </cols>
  <sheetData>
    <row r="1" spans="1:17">
      <c r="A1" s="10" t="s">
        <v>35</v>
      </c>
      <c r="B1" s="11"/>
      <c r="C1" s="11"/>
      <c r="D1" s="11"/>
      <c r="E1" s="12"/>
    </row>
    <row r="2" spans="1:17">
      <c r="A2" s="2"/>
      <c r="B2" s="2"/>
      <c r="C2" s="2"/>
      <c r="D2" s="2"/>
      <c r="E2" s="2"/>
    </row>
    <row r="3" spans="1:17">
      <c r="A3" s="20"/>
      <c r="B3" s="4"/>
      <c r="C3" s="2"/>
      <c r="G3" s="30" t="s">
        <v>22</v>
      </c>
      <c r="H3" s="30"/>
      <c r="I3" s="30"/>
      <c r="J3" s="30"/>
      <c r="K3" s="30"/>
      <c r="L3" s="30"/>
      <c r="M3" s="30"/>
      <c r="N3" s="30"/>
      <c r="O3" s="30"/>
      <c r="P3" s="30"/>
      <c r="Q3" s="30"/>
    </row>
    <row r="4" spans="1:17">
      <c r="A4" s="3" t="s">
        <v>16</v>
      </c>
      <c r="B4" s="4">
        <v>95</v>
      </c>
      <c r="C4" s="2"/>
      <c r="G4" s="29">
        <v>95</v>
      </c>
      <c r="H4" s="29">
        <v>96</v>
      </c>
      <c r="I4" s="29">
        <v>97</v>
      </c>
      <c r="J4" s="29">
        <v>98</v>
      </c>
      <c r="K4" s="29">
        <v>99</v>
      </c>
      <c r="L4" s="29">
        <v>100</v>
      </c>
      <c r="M4" s="29">
        <v>101</v>
      </c>
      <c r="N4" s="29">
        <v>102</v>
      </c>
      <c r="O4" s="29">
        <v>103</v>
      </c>
      <c r="P4" s="29">
        <v>104</v>
      </c>
      <c r="Q4" s="29">
        <v>105</v>
      </c>
    </row>
    <row r="5" spans="1:17">
      <c r="A5" s="2" t="s">
        <v>15</v>
      </c>
      <c r="B5" s="4">
        <v>100</v>
      </c>
      <c r="C5" s="2"/>
      <c r="E5" s="27"/>
      <c r="F5" s="27">
        <v>95</v>
      </c>
      <c r="G5" s="28">
        <f>_xll.EuropeanCallOptionPricer($B$8,G$4,$F5,$B$10,$B$6,$B$13)</f>
        <v>6.9005071603219763</v>
      </c>
      <c r="H5" s="28">
        <f>_xll.EuropeanCallOptionPricer($B$8,H$4,$F5,$B$10,$B$6,$B$13)</f>
        <v>6.277021152774453</v>
      </c>
      <c r="I5" s="28">
        <f>_xll.EuropeanCallOptionPricer($B$8,I$4,$F5,$B$10,$B$6,$B$13)</f>
        <v>5.7843849136735308</v>
      </c>
      <c r="J5" s="28">
        <f>_xll.EuropeanCallOptionPricer($B$8,J$4,$F5,$B$10,$B$6,$B$13)</f>
        <v>5.3192755760967714</v>
      </c>
      <c r="K5" s="28">
        <f>_xll.EuropeanCallOptionPricer($B$8,K$4,$F5,$B$10,$B$6,$B$13)</f>
        <v>4.8825181261163664</v>
      </c>
      <c r="L5" s="28">
        <f>_xll.EuropeanCallOptionPricer($B$8,L$4,$F5,$B$10,$B$6,$B$13)</f>
        <v>4.4733041824884578</v>
      </c>
      <c r="M5" s="28">
        <f>_xll.EuropeanCallOptionPricer($B$8,M$4,$F5,$B$10,$B$6,$B$13)</f>
        <v>4.0904299702068316</v>
      </c>
      <c r="N5" s="28">
        <f>_xll.EuropeanCallOptionPricer($B$8,N$4,$F5,$B$10,$B$6,$B$13)</f>
        <v>3.7330689541888713</v>
      </c>
      <c r="O5" s="28">
        <f>_xll.EuropeanCallOptionPricer($B$8,O$4,$F5,$B$10,$B$6,$B$13)</f>
        <v>3.4020037059116897</v>
      </c>
      <c r="P5" s="28">
        <f>_xll.EuropeanCallOptionPricer($B$8,P$4,$F5,$B$10,$B$6,$B$13)</f>
        <v>3.0938619918350212</v>
      </c>
      <c r="Q5" s="28">
        <f>_xll.EuropeanCallOptionPricer($B$8,Q$4,$F5,$B$10,$B$6,$B$13)</f>
        <v>2.8062994184752985</v>
      </c>
    </row>
    <row r="6" spans="1:17">
      <c r="A6" s="3" t="s">
        <v>14</v>
      </c>
      <c r="B6" s="6">
        <v>0.06</v>
      </c>
      <c r="C6" s="2"/>
      <c r="E6" s="27"/>
      <c r="F6" s="27">
        <v>96</v>
      </c>
      <c r="G6" s="28">
        <f>_xll.EuropeanCallOptionPricer($B$8,G$4,$F6,$B$10,$B$6,$B$13)</f>
        <v>7.5884066315789154</v>
      </c>
      <c r="H6" s="28">
        <f>_xll.EuropeanCallOptionPricer($B$8,H$4,$F6,$B$10,$B$6,$B$13)</f>
        <v>7.0281973442292918</v>
      </c>
      <c r="I6" s="28">
        <f>_xll.EuropeanCallOptionPricer($B$8,I$4,$F6,$B$10,$B$6,$B$13)</f>
        <v>6.4983215491114246</v>
      </c>
      <c r="J6" s="28">
        <f>_xll.EuropeanCallOptionPricer($B$8,J$4,$F6,$B$10,$B$6,$B$13)</f>
        <v>5.9953246017263435</v>
      </c>
      <c r="K6" s="28">
        <f>_xll.EuropeanCallOptionPricer($B$8,K$4,$F6,$B$10,$B$6,$B$13)</f>
        <v>5.5200017565448452</v>
      </c>
      <c r="L6" s="28">
        <f>_xll.EuropeanCallOptionPricer($B$8,L$4,$F6,$B$10,$B$6,$B$13)</f>
        <v>5.0707124531890688</v>
      </c>
      <c r="M6" s="28">
        <f>_xll.EuropeanCallOptionPricer($B$8,M$4,$F6,$B$10,$B$6,$B$13)</f>
        <v>4.6486695269023626</v>
      </c>
      <c r="N6" s="28">
        <f>_xll.EuropeanCallOptionPricer($B$8,N$4,$F6,$B$10,$B$6,$B$13)</f>
        <v>4.2541227952358254</v>
      </c>
      <c r="O6" s="28">
        <f>_xll.EuropeanCallOptionPricer($B$8,O$4,$F6,$B$10,$B$6,$B$13)</f>
        <v>3.8865595328236222</v>
      </c>
      <c r="P6" s="28">
        <f>_xll.EuropeanCallOptionPricer($B$8,P$4,$F6,$B$10,$B$6,$B$13)</f>
        <v>3.5431591339890685</v>
      </c>
      <c r="Q6" s="28">
        <f>_xll.EuropeanCallOptionPricer($B$8,Q$4,$F6,$B$10,$B$6,$B$13)</f>
        <v>3.2249922644030322</v>
      </c>
    </row>
    <row r="7" spans="1:17">
      <c r="A7" s="3"/>
      <c r="B7" s="6"/>
      <c r="C7" s="2"/>
      <c r="E7" s="27"/>
      <c r="F7" s="27">
        <v>97</v>
      </c>
      <c r="G7" s="28">
        <f>_xll.EuropeanCallOptionPricer($B$8,G$4,$F7,$B$10,$B$6,$B$13)</f>
        <v>8.2491429559895213</v>
      </c>
      <c r="H7" s="28">
        <f>_xll.EuropeanCallOptionPricer($B$8,H$4,$F7,$B$10,$B$6,$B$13)</f>
        <v>7.6614695624463307</v>
      </c>
      <c r="I7" s="28">
        <f>_xll.EuropeanCallOptionPricer($B$8,I$4,$F7,$B$10,$B$6,$B$13)</f>
        <v>7.101407733231671</v>
      </c>
      <c r="J7" s="28">
        <f>_xll.EuropeanCallOptionPricer($B$8,J$4,$F7,$B$10,$B$6,$B$13)</f>
        <v>6.5713953494517101</v>
      </c>
      <c r="K7" s="28">
        <f>_xll.EuropeanCallOptionPricer($B$8,K$4,$F7,$B$10,$B$6,$B$13)</f>
        <v>6.067994501437993</v>
      </c>
      <c r="L7" s="28">
        <f>_xll.EuropeanCallOptionPricer($B$8,L$4,$F7,$B$10,$B$6,$B$13)</f>
        <v>5.5919543043256716</v>
      </c>
      <c r="M7" s="28">
        <f>_xll.EuropeanCallOptionPricer($B$8,M$4,$F7,$B$10,$B$6,$B$13)</f>
        <v>5.1416892853569065</v>
      </c>
      <c r="N7" s="28">
        <f>_xll.EuropeanCallOptionPricer($B$8,N$4,$F7,$B$10,$B$6,$B$13)</f>
        <v>4.7184123839063989</v>
      </c>
      <c r="O7" s="28">
        <f>_xll.EuropeanCallOptionPricer($B$8,O$4,$F7,$B$10,$B$6,$B$13)</f>
        <v>4.3222749838210843</v>
      </c>
      <c r="P7" s="28">
        <f>_xll.EuropeanCallOptionPricer($B$8,P$4,$F7,$B$10,$B$6,$B$13)</f>
        <v>3.9530518590635109</v>
      </c>
      <c r="Q7" s="28">
        <f>_xll.EuropeanCallOptionPricer($B$8,Q$4,$F7,$B$10,$B$6,$B$13)</f>
        <v>3.6076257930262727</v>
      </c>
    </row>
    <row r="8" spans="1:17">
      <c r="A8" s="3" t="s">
        <v>18</v>
      </c>
      <c r="B8" s="8">
        <v>0.5</v>
      </c>
      <c r="C8" s="2"/>
      <c r="E8" s="27"/>
      <c r="F8" s="27">
        <v>98</v>
      </c>
      <c r="G8" s="28">
        <f>_xll.EuropeanCallOptionPricer($B$8,G$4,$F8,$B$10,$B$6,$B$13)</f>
        <v>8.9337743891786836</v>
      </c>
      <c r="H8" s="28">
        <f>_xll.EuropeanCallOptionPricer($B$8,H$4,$F8,$B$10,$B$6,$B$13)</f>
        <v>8.321828529159335</v>
      </c>
      <c r="I8" s="28">
        <f>_xll.EuropeanCallOptionPricer($B$8,I$4,$F8,$B$10,$B$6,$B$13)</f>
        <v>7.7345367911686775</v>
      </c>
      <c r="J8" s="28">
        <f>_xll.EuropeanCallOptionPricer($B$8,J$4,$F8,$B$10,$B$6,$B$13)</f>
        <v>7.1746181222340635</v>
      </c>
      <c r="K8" s="28">
        <f>_xll.EuropeanCallOptionPricer($B$8,K$4,$F8,$B$10,$B$6,$B$13)</f>
        <v>6.6444742253754248</v>
      </c>
      <c r="L8" s="28">
        <f>_xll.EuropeanCallOptionPricer($B$8,L$4,$F8,$B$10,$B$6,$B$13)</f>
        <v>6.14067898174057</v>
      </c>
      <c r="M8" s="28">
        <f>_xll.EuropeanCallOptionPricer($B$8,M$4,$F8,$B$10,$B$6,$B$13)</f>
        <v>5.66392522501725</v>
      </c>
      <c r="N8" s="28">
        <f>_xll.EuropeanCallOptionPricer($B$8,N$4,$F8,$B$10,$B$6,$B$13)</f>
        <v>5.2126930853871531</v>
      </c>
      <c r="O8" s="28">
        <f>_xll.EuropeanCallOptionPricer($B$8,O$4,$F8,$B$10,$B$6,$B$13)</f>
        <v>4.7882396553141255</v>
      </c>
      <c r="P8" s="28">
        <f>_xll.EuropeanCallOptionPricer($B$8,P$4,$F8,$B$10,$B$6,$B$13)</f>
        <v>4.3905472177463496</v>
      </c>
      <c r="Q8" s="28">
        <f>_xll.EuropeanCallOptionPricer($B$8,Q$4,$F8,$B$10,$B$6,$B$13)</f>
        <v>4.0196555052153506</v>
      </c>
    </row>
    <row r="9" spans="1:17">
      <c r="A9" s="20"/>
      <c r="B9" s="21"/>
      <c r="E9" s="27"/>
      <c r="F9" s="27">
        <v>99</v>
      </c>
      <c r="G9" s="28">
        <f>_xll.EuropeanCallOptionPricer($B$8,G$4,$F9,$B$10,$B$6,$B$13)</f>
        <v>9.6420332469833685</v>
      </c>
      <c r="H9" s="28">
        <f>_xll.EuropeanCallOptionPricer($B$8,H$4,$F9,$B$10,$B$6,$B$13)</f>
        <v>9.0058131674998787</v>
      </c>
      <c r="I9" s="28">
        <f>_xll.EuropeanCallOptionPricer($B$8,I$4,$F9,$B$10,$B$6,$B$13)</f>
        <v>8.3945221717312108</v>
      </c>
      <c r="J9" s="28">
        <f>_xll.EuropeanCallOptionPricer($B$8,J$4,$F9,$B$10,$B$6,$B$13)</f>
        <v>7.8076061900271538</v>
      </c>
      <c r="K9" s="28">
        <f>_xll.EuropeanCallOptionPricer($B$8,K$4,$F9,$B$10,$B$6,$B$13)</f>
        <v>7.2478285112364578</v>
      </c>
      <c r="L9" s="28">
        <f>_xll.EuropeanCallOptionPricer($B$8,L$4,$F9,$B$10,$B$6,$B$13)</f>
        <v>6.717556137572207</v>
      </c>
      <c r="M9" s="28">
        <f>_xll.EuropeanCallOptionPricer($B$8,M$4,$F9,$B$10,$B$6,$B$13)</f>
        <v>6.2133732429981352</v>
      </c>
      <c r="N9" s="28">
        <f>_xll.EuropeanCallOptionPricer($B$8,N$4,$F9,$B$10,$B$6,$B$13)</f>
        <v>5.735910815303618</v>
      </c>
      <c r="O9" s="28">
        <f>_xll.EuropeanCallOptionPricer($B$8,O$4,$F9,$B$10,$B$6,$B$13)</f>
        <v>5.283741751919286</v>
      </c>
      <c r="P9" s="28">
        <f>_xll.EuropeanCallOptionPricer($B$8,P$4,$F9,$B$10,$B$6,$B$13)</f>
        <v>4.8581251405366386</v>
      </c>
      <c r="Q9" s="28">
        <f>_xll.EuropeanCallOptionPricer($B$8,Q$4,$F9,$B$10,$B$6,$B$13)</f>
        <v>4.4589159971943104</v>
      </c>
    </row>
    <row r="10" spans="1:17">
      <c r="A10" s="3" t="s">
        <v>19</v>
      </c>
      <c r="B10" s="6">
        <v>0.2</v>
      </c>
      <c r="E10" s="27" t="s">
        <v>23</v>
      </c>
      <c r="F10" s="27">
        <v>100</v>
      </c>
      <c r="G10" s="28">
        <f>_xll.EuropeanCallOptionPricer($B$8,G$4,$F10,$B$10,$B$6,$B$13)</f>
        <v>10.37355366804924</v>
      </c>
      <c r="H10" s="28">
        <f>_xll.EuropeanCallOptionPricer($B$8,H$4,$F10,$B$10,$B$6,$B$13)</f>
        <v>9.7132838327532607</v>
      </c>
      <c r="I10" s="28">
        <f>_xll.EuropeanCallOptionPricer($B$8,I$4,$F10,$B$10,$B$6,$B$13)</f>
        <v>9.077883807982408</v>
      </c>
      <c r="J10" s="28">
        <f>_xll.EuropeanCallOptionPricer($B$8,J$4,$F10,$B$10,$B$6,$B$13)</f>
        <v>8.4672250571767673</v>
      </c>
      <c r="K10" s="28">
        <f>_xll.EuropeanCallOptionPricer($B$8,K$4,$F10,$B$10,$B$6,$B$13)</f>
        <v>7.8806816230059749</v>
      </c>
      <c r="L10" s="28">
        <f>_xll.EuropeanCallOptionPricer($B$8,L$4,$F10,$B$10,$B$6,$B$13)</f>
        <v>7.3210389002388387</v>
      </c>
      <c r="M10" s="28">
        <f>_xll.EuropeanCallOptionPricer($B$8,M$4,$F10,$B$10,$B$6,$B$13)</f>
        <v>6.7906394265065071</v>
      </c>
      <c r="N10" s="28">
        <f>_xll.EuropeanCallOptionPricer($B$8,N$4,$F10,$B$10,$B$6,$B$13)</f>
        <v>6.2860807885184835</v>
      </c>
      <c r="O10" s="28">
        <f>_xll.EuropeanCallOptionPricer($B$8,O$4,$F10,$B$10,$B$6,$B$13)</f>
        <v>5.8079206653807454</v>
      </c>
      <c r="P10" s="28">
        <f>_xll.EuropeanCallOptionPricer($B$8,P$4,$F10,$B$10,$B$6,$B$13)</f>
        <v>5.3548494322411866</v>
      </c>
      <c r="Q10" s="28">
        <f>_xll.EuropeanCallOptionPricer($B$8,Q$4,$F10,$B$10,$B$6,$B$13)</f>
        <v>4.9280603750432137</v>
      </c>
    </row>
    <row r="11" spans="1:17">
      <c r="A11" s="9"/>
      <c r="B11" s="9"/>
      <c r="E11" s="27"/>
      <c r="F11" s="27">
        <v>101</v>
      </c>
      <c r="G11" s="28">
        <f>_xll.EuropeanCallOptionPricer($B$8,G$4,$F11,$B$10,$B$6,$B$13)</f>
        <v>11.128778413834434</v>
      </c>
      <c r="H11" s="28">
        <f>_xll.EuropeanCallOptionPricer($B$8,H$4,$F11,$B$10,$B$6,$B$13)</f>
        <v>10.44368145049186</v>
      </c>
      <c r="I11" s="28">
        <f>_xll.EuropeanCallOptionPricer($B$8,I$4,$F11,$B$10,$B$6,$B$13)</f>
        <v>9.7845786307050595</v>
      </c>
      <c r="J11" s="28">
        <f>_xll.EuropeanCallOptionPricer($B$8,J$4,$F11,$B$10,$B$6,$B$13)</f>
        <v>9.1499743871034038</v>
      </c>
      <c r="K11" s="28">
        <f>_xll.EuropeanCallOptionPricer($B$8,K$4,$F11,$B$10,$B$6,$B$13)</f>
        <v>8.5399364775776885</v>
      </c>
      <c r="L11" s="28">
        <f>_xll.EuropeanCallOptionPricer($B$8,L$4,$F11,$B$10,$B$6,$B$13)</f>
        <v>7.9537599273209603</v>
      </c>
      <c r="M11" s="28">
        <f>_xll.EuropeanCallOptionPricer($B$8,M$4,$F11,$B$10,$B$6,$B$13)</f>
        <v>7.3942492892412321</v>
      </c>
      <c r="N11" s="28">
        <f>_xll.EuropeanCallOptionPricer($B$8,N$4,$F11,$B$10,$B$6,$B$13)</f>
        <v>6.8637232081643731</v>
      </c>
      <c r="O11" s="28">
        <f>_xll.EuropeanCallOptionPricer($B$8,O$4,$F11,$B$10,$B$6,$B$13)</f>
        <v>6.358793939589189</v>
      </c>
      <c r="P11" s="28">
        <f>_xll.EuropeanCallOptionPricer($B$8,P$4,$F11,$B$10,$B$6,$B$13)</f>
        <v>5.8799510633236673</v>
      </c>
      <c r="Q11" s="28">
        <f>_xll.EuropeanCallOptionPricer($B$8,Q$4,$F11,$B$10,$B$6,$B$13)</f>
        <v>5.4260080496385177</v>
      </c>
    </row>
    <row r="12" spans="1:17">
      <c r="E12" s="27"/>
      <c r="F12" s="27">
        <v>102</v>
      </c>
      <c r="G12" s="28">
        <f>_xll.EuropeanCallOptionPricer($B$8,G$4,$F12,$B$10,$B$6,$B$13)</f>
        <v>11.906268614851466</v>
      </c>
      <c r="H12" s="28">
        <f>_xll.EuropeanCallOptionPricer($B$8,H$4,$F12,$B$10,$B$6,$B$13)</f>
        <v>11.197584809226461</v>
      </c>
      <c r="I12" s="28">
        <f>_xll.EuropeanCallOptionPricer($B$8,I$4,$F12,$B$10,$B$6,$B$13)</f>
        <v>10.51387249317524</v>
      </c>
      <c r="J12" s="28">
        <f>_xll.EuropeanCallOptionPricer($B$8,J$4,$F12,$B$10,$B$6,$B$13)</f>
        <v>9.855903255929805</v>
      </c>
      <c r="K12" s="28">
        <f>_xll.EuropeanCallOptionPricer($B$8,K$4,$F12,$B$10,$B$6,$B$13)</f>
        <v>9.2220923237693473</v>
      </c>
      <c r="L12" s="28">
        <f>_xll.EuropeanCallOptionPricer($B$8,L$4,$F12,$B$10,$B$6,$B$13)</f>
        <v>8.6126538588338466</v>
      </c>
      <c r="M12" s="28">
        <f>_xll.EuropeanCallOptionPricer($B$8,M$4,$F12,$B$10,$B$6,$B$13)</f>
        <v>8.0268414083127766</v>
      </c>
      <c r="N12" s="28">
        <f>_xll.EuropeanCallOptionPricer($B$8,N$4,$F12,$B$10,$B$6,$B$13)</f>
        <v>7.4674596782436184</v>
      </c>
      <c r="O12" s="28">
        <f>_xll.EuropeanCallOptionPricer($B$8,O$4,$F12,$B$10,$B$6,$B$13)</f>
        <v>6.9368081789558911</v>
      </c>
      <c r="P12" s="28">
        <f>_xll.EuropeanCallOptionPricer($B$8,P$4,$F12,$B$10,$B$6,$B$13)</f>
        <v>6.4315138111076191</v>
      </c>
      <c r="Q12" s="28">
        <f>_xll.EuropeanCallOptionPricer($B$8,Q$4,$F12,$B$10,$B$6,$B$13)</f>
        <v>5.9520029986738194</v>
      </c>
    </row>
    <row r="13" spans="1:17">
      <c r="A13" s="3" t="s">
        <v>21</v>
      </c>
      <c r="B13" s="19">
        <v>10000</v>
      </c>
      <c r="E13" s="27"/>
      <c r="F13" s="27">
        <v>103</v>
      </c>
      <c r="G13" s="28">
        <f>_xll.EuropeanCallOptionPricer($B$8,G$4,$F13,$B$10,$B$6,$B$13)</f>
        <v>12.702883476039215</v>
      </c>
      <c r="H13" s="28">
        <f>_xll.EuropeanCallOptionPricer($B$8,H$4,$F13,$B$10,$B$6,$B$13)</f>
        <v>11.973572856096965</v>
      </c>
      <c r="I13" s="28">
        <f>_xll.EuropeanCallOptionPricer($B$8,I$4,$F13,$B$10,$B$6,$B$13)</f>
        <v>11.266456220249365</v>
      </c>
      <c r="J13" s="28">
        <f>_xll.EuropeanCallOptionPricer($B$8,J$4,$F13,$B$10,$B$6,$B$13)</f>
        <v>10.584113295829685</v>
      </c>
      <c r="K13" s="28">
        <f>_xll.EuropeanCallOptionPricer($B$8,K$4,$F13,$B$10,$B$6,$B$13)</f>
        <v>9.9272495408458212</v>
      </c>
      <c r="L13" s="28">
        <f>_xll.EuropeanCallOptionPricer($B$8,L$4,$F13,$B$10,$B$6,$B$13)</f>
        <v>9.294236949044258</v>
      </c>
      <c r="M13" s="28">
        <f>_xll.EuropeanCallOptionPricer($B$8,M$4,$F13,$B$10,$B$6,$B$13)</f>
        <v>8.6853822718496652</v>
      </c>
      <c r="N13" s="28">
        <f>_xll.EuropeanCallOptionPricer($B$8,N$4,$F13,$B$10,$B$6,$B$13)</f>
        <v>8.0999258462727912</v>
      </c>
      <c r="O13" s="28">
        <f>_xll.EuropeanCallOptionPricer($B$8,O$4,$F13,$B$10,$B$6,$B$13)</f>
        <v>7.5406700672459719</v>
      </c>
      <c r="P13" s="28">
        <f>_xll.EuropeanCallOptionPricer($B$8,P$4,$F13,$B$10,$B$6,$B$13)</f>
        <v>7.0098961045300809</v>
      </c>
      <c r="Q13" s="28">
        <f>_xll.EuropeanCallOptionPricer($B$8,Q$4,$F13,$B$10,$B$6,$B$13)</f>
        <v>6.504241130139774</v>
      </c>
    </row>
    <row r="14" spans="1:17">
      <c r="A14" s="9"/>
      <c r="B14" s="9"/>
      <c r="E14" s="27"/>
      <c r="F14" s="27">
        <v>104</v>
      </c>
      <c r="G14" s="28">
        <f>_xll.EuropeanCallOptionPricer($B$8,G$4,$F14,$B$10,$B$6,$B$13)</f>
        <v>13.516980263075183</v>
      </c>
      <c r="H14" s="28">
        <f>_xll.EuropeanCallOptionPricer($B$8,H$4,$F14,$B$10,$B$6,$B$13)</f>
        <v>12.768825996345345</v>
      </c>
      <c r="I14" s="28">
        <f>_xll.EuropeanCallOptionPricer($B$8,I$4,$F14,$B$10,$B$6,$B$13)</f>
        <v>12.040976728902125</v>
      </c>
      <c r="J14" s="28">
        <f>_xll.EuropeanCallOptionPricer($B$8,J$4,$F14,$B$10,$B$6,$B$13)</f>
        <v>11.335389837977118</v>
      </c>
      <c r="K14" s="28">
        <f>_xll.EuropeanCallOptionPricer($B$8,K$4,$F14,$B$10,$B$6,$B$13)</f>
        <v>10.654392280822762</v>
      </c>
      <c r="L14" s="28">
        <f>_xll.EuropeanCallOptionPricer($B$8,L$4,$F14,$B$10,$B$6,$B$13)</f>
        <v>9.998622729080024</v>
      </c>
      <c r="M14" s="28">
        <f>_xll.EuropeanCallOptionPricer($B$8,M$4,$F14,$B$10,$B$6,$B$13)</f>
        <v>9.3664080068294968</v>
      </c>
      <c r="N14" s="28">
        <f>_xll.EuropeanCallOptionPricer($B$8,N$4,$F14,$B$10,$B$6,$B$13)</f>
        <v>8.7581155348920614</v>
      </c>
      <c r="O14" s="28">
        <f>_xll.EuropeanCallOptionPricer($B$8,O$4,$F14,$B$10,$B$6,$B$13)</f>
        <v>8.1730118018183404</v>
      </c>
      <c r="P14" s="28">
        <f>_xll.EuropeanCallOptionPricer($B$8,P$4,$F14,$B$10,$B$6,$B$13)</f>
        <v>7.6138804562483831</v>
      </c>
      <c r="Q14" s="28">
        <f>_xll.EuropeanCallOptionPricer($B$8,Q$4,$F14,$B$10,$B$6,$B$13)</f>
        <v>7.0829863988511379</v>
      </c>
    </row>
    <row r="15" spans="1:17">
      <c r="A15" s="2"/>
      <c r="B15" s="2"/>
      <c r="E15" s="27"/>
      <c r="F15" s="27">
        <v>105</v>
      </c>
      <c r="G15" s="28">
        <f>_xll.EuropeanCallOptionPricer($B$8,G$4,$F15,$B$10,$B$6,$B$13)</f>
        <v>14.350109166773219</v>
      </c>
      <c r="H15" s="28">
        <f>_xll.EuropeanCallOptionPricer($B$8,H$4,$F15,$B$10,$B$6,$B$13)</f>
        <v>13.581325187083307</v>
      </c>
      <c r="I15" s="28">
        <f>_xll.EuropeanCallOptionPricer($B$8,I$4,$F15,$B$10,$B$6,$B$13)</f>
        <v>12.834885413864448</v>
      </c>
      <c r="J15" s="28">
        <f>_xll.EuropeanCallOptionPricer($B$8,J$4,$F15,$B$10,$B$6,$B$13)</f>
        <v>12.108485194028523</v>
      </c>
      <c r="K15" s="28">
        <f>_xll.EuropeanCallOptionPricer($B$8,K$4,$F15,$B$10,$B$6,$B$13)</f>
        <v>11.404389412110048</v>
      </c>
      <c r="L15" s="28">
        <f>_xll.EuropeanCallOptionPricer($B$8,L$4,$F15,$B$10,$B$6,$B$13)</f>
        <v>10.724726714008634</v>
      </c>
      <c r="M15" s="28">
        <f>_xll.EuropeanCallOptionPricer($B$8,M$4,$F15,$B$10,$B$6,$B$13)</f>
        <v>10.070027786879683</v>
      </c>
      <c r="N15" s="28">
        <f>_xll.EuropeanCallOptionPricer($B$8,N$4,$F15,$B$10,$B$6,$B$13)</f>
        <v>9.4385911972141763</v>
      </c>
      <c r="O15" s="28">
        <f>_xll.EuropeanCallOptionPricer($B$8,O$4,$F15,$B$10,$B$6,$B$13)</f>
        <v>8.8308552831508074</v>
      </c>
      <c r="P15" s="28">
        <f>_xll.EuropeanCallOptionPricer($B$8,P$4,$F15,$B$10,$B$6,$B$13)</f>
        <v>8.2460989787777645</v>
      </c>
      <c r="Q15" s="28">
        <f>_xll.EuropeanCallOptionPricer($B$8,Q$4,$F15,$B$10,$B$6,$B$13)</f>
        <v>7.6870908452507791</v>
      </c>
    </row>
    <row r="16" spans="1:17">
      <c r="A16" s="2"/>
      <c r="B16" s="5"/>
    </row>
    <row r="18" spans="5:17">
      <c r="G18" s="30" t="s">
        <v>24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</row>
    <row r="19" spans="5:17">
      <c r="G19" s="29">
        <v>0.01</v>
      </c>
      <c r="H19" s="29">
        <v>0.05</v>
      </c>
      <c r="I19" s="29">
        <v>0.1</v>
      </c>
      <c r="J19" s="29">
        <v>0.2</v>
      </c>
      <c r="K19" s="29">
        <v>0.3</v>
      </c>
      <c r="L19" s="29">
        <v>0.4</v>
      </c>
      <c r="M19" s="29">
        <v>0.5</v>
      </c>
      <c r="N19" s="29">
        <v>0.6</v>
      </c>
      <c r="O19" s="29">
        <v>0.7</v>
      </c>
      <c r="P19" s="29">
        <v>0.8</v>
      </c>
      <c r="Q19" s="29">
        <v>0.9</v>
      </c>
    </row>
    <row r="20" spans="5:17">
      <c r="E20" s="27"/>
      <c r="F20" s="27">
        <v>90</v>
      </c>
      <c r="G20" s="2">
        <f>_xll.EuropeanCallOptionPricer(G$19,$B$5,$F20,$B$10,$B$6,$B$13)</f>
        <v>0</v>
      </c>
      <c r="H20" s="2">
        <f>_xll.EuropeanCallOptionPricer(H$19,$B$5,$F20,$B$10,$B$6,$B$13)</f>
        <v>1.6716865338933417E-2</v>
      </c>
      <c r="I20" s="2">
        <f>_xll.EuropeanCallOptionPricer(I$19,$B$5,$F20,$B$10,$B$6,$B$13)</f>
        <v>0.14756083690730451</v>
      </c>
      <c r="J20" s="2">
        <f>_xll.EuropeanCallOptionPricer(J$19,$B$5,$F20,$B$10,$B$6,$B$13)</f>
        <v>0.63978885973883992</v>
      </c>
      <c r="K20" s="2">
        <f>_xll.EuropeanCallOptionPricer(K$19,$B$5,$F20,$B$10,$B$6,$B$13)</f>
        <v>1.2228786969885563</v>
      </c>
      <c r="L20" s="2">
        <f>_xll.EuropeanCallOptionPricer(L$19,$B$5,$F20,$B$10,$B$6,$B$13)</f>
        <v>1.8334908821958471</v>
      </c>
      <c r="M20" s="2">
        <f>_xll.EuropeanCallOptionPricer(M$19,$B$5,$F20,$B$10,$B$6,$B$13)</f>
        <v>2.4434876496664986</v>
      </c>
      <c r="N20" s="2">
        <f>_xll.EuropeanCallOptionPricer(N$19,$B$5,$F20,$B$10,$B$6,$B$13)</f>
        <v>3.0449499544089007</v>
      </c>
      <c r="O20" s="2">
        <f>_xll.EuropeanCallOptionPricer(O$19,$B$5,$F20,$B$10,$B$6,$B$13)</f>
        <v>3.6372363054501626</v>
      </c>
      <c r="P20" s="2">
        <f>_xll.EuropeanCallOptionPricer(P$19,$B$5,$F20,$B$10,$B$6,$B$13)</f>
        <v>4.2197902568961387</v>
      </c>
      <c r="Q20" s="2">
        <f>_xll.EuropeanCallOptionPricer(Q$19,$B$5,$F20,$B$10,$B$6,$B$13)</f>
        <v>4.7929593408468936</v>
      </c>
    </row>
    <row r="21" spans="5:17">
      <c r="E21" s="27"/>
      <c r="F21" s="27">
        <v>92</v>
      </c>
      <c r="G21" s="2">
        <f>_xll.EuropeanCallOptionPricer(G$19,$B$5,$F21,$B$10,$B$6,$B$13)</f>
        <v>0</v>
      </c>
      <c r="H21" s="2">
        <f>_xll.EuropeanCallOptionPricer(H$19,$B$5,$F21,$B$10,$B$6,$B$13)</f>
        <v>6.8222297240285071E-2</v>
      </c>
      <c r="I21" s="2">
        <f>_xll.EuropeanCallOptionPricer(I$19,$B$5,$F21,$B$10,$B$6,$B$13)</f>
        <v>0.34304585165252388</v>
      </c>
      <c r="J21" s="2">
        <f>_xll.EuropeanCallOptionPricer(J$19,$B$5,$F21,$B$10,$B$6,$B$13)</f>
        <v>1.0746233756808328</v>
      </c>
      <c r="K21" s="2">
        <f>_xll.EuropeanCallOptionPricer(K$19,$B$5,$F21,$B$10,$B$6,$B$13)</f>
        <v>1.8300635594620676</v>
      </c>
      <c r="L21" s="2">
        <f>_xll.EuropeanCallOptionPricer(L$19,$B$5,$F21,$B$10,$B$6,$B$13)</f>
        <v>2.5675585724064987</v>
      </c>
      <c r="M21" s="2">
        <f>_xll.EuropeanCallOptionPricer(M$19,$B$5,$F21,$B$10,$B$6,$B$13)</f>
        <v>3.2817114715153743</v>
      </c>
      <c r="N21" s="2">
        <f>_xll.EuropeanCallOptionPricer(N$19,$B$5,$F21,$B$10,$B$6,$B$13)</f>
        <v>3.9741883568169207</v>
      </c>
      <c r="O21" s="2">
        <f>_xll.EuropeanCallOptionPricer(O$19,$B$5,$F21,$B$10,$B$6,$B$13)</f>
        <v>4.647238507743479</v>
      </c>
      <c r="P21" s="2">
        <f>_xll.EuropeanCallOptionPricer(P$19,$B$5,$F21,$B$10,$B$6,$B$13)</f>
        <v>5.3015413686392243</v>
      </c>
      <c r="Q21" s="2">
        <f>_xll.EuropeanCallOptionPricer(Q$19,$B$5,$F21,$B$10,$B$6,$B$13)</f>
        <v>5.9393305673111554</v>
      </c>
    </row>
    <row r="22" spans="5:17">
      <c r="E22" s="27"/>
      <c r="F22" s="27">
        <v>94</v>
      </c>
      <c r="G22" s="2">
        <f>_xll.EuropeanCallOptionPricer(G$19,$B$5,$F22,$B$10,$B$6,$B$13)</f>
        <v>7.7038529779450483E-4</v>
      </c>
      <c r="H22" s="2">
        <f>_xll.EuropeanCallOptionPricer(H$19,$B$5,$F22,$B$10,$B$6,$B$13)</f>
        <v>0.20264354710677016</v>
      </c>
      <c r="I22" s="2">
        <f>_xll.EuropeanCallOptionPricer(I$19,$B$5,$F22,$B$10,$B$6,$B$13)</f>
        <v>0.66298861784376184</v>
      </c>
      <c r="J22" s="2">
        <f>_xll.EuropeanCallOptionPricer(J$19,$B$5,$F22,$B$10,$B$6,$B$13)</f>
        <v>1.6113512681051607</v>
      </c>
      <c r="K22" s="2">
        <f>_xll.EuropeanCallOptionPricer(K$19,$B$5,$F22,$B$10,$B$6,$B$13)</f>
        <v>2.4983906065785897</v>
      </c>
      <c r="L22" s="2">
        <f>_xll.EuropeanCallOptionPricer(L$19,$B$5,$F22,$B$10,$B$6,$B$13)</f>
        <v>3.329795887573535</v>
      </c>
      <c r="M22" s="2">
        <f>_xll.EuropeanCallOptionPricer(M$19,$B$5,$F22,$B$10,$B$6,$B$13)</f>
        <v>4.1167015803501723</v>
      </c>
      <c r="N22" s="2">
        <f>_xll.EuropeanCallOptionPricer(N$19,$B$5,$F22,$B$10,$B$6,$B$13)</f>
        <v>4.8665160517738055</v>
      </c>
      <c r="O22" s="2">
        <f>_xll.EuropeanCallOptionPricer(O$19,$B$5,$F22,$B$10,$B$6,$B$13)</f>
        <v>5.5858117421863787</v>
      </c>
      <c r="P22" s="2">
        <f>_xll.EuropeanCallOptionPricer(P$19,$B$5,$F22,$B$10,$B$6,$B$13)</f>
        <v>6.2799982187049332</v>
      </c>
      <c r="Q22" s="2">
        <f>_xll.EuropeanCallOptionPricer(Q$19,$B$5,$F22,$B$10,$B$6,$B$13)</f>
        <v>6.9520458833458774</v>
      </c>
    </row>
    <row r="23" spans="5:17">
      <c r="E23" s="27"/>
      <c r="F23" s="27">
        <v>96</v>
      </c>
      <c r="G23" s="2">
        <f>_xll.EuropeanCallOptionPricer(G$19,$B$5,$F23,$B$10,$B$6,$B$13)</f>
        <v>1.7989714247817559E-2</v>
      </c>
      <c r="H23" s="2">
        <f>_xll.EuropeanCallOptionPricer(H$19,$B$5,$F23,$B$10,$B$6,$B$13)</f>
        <v>0.50716456805991406</v>
      </c>
      <c r="I23" s="2">
        <f>_xll.EuropeanCallOptionPricer(I$19,$B$5,$F23,$B$10,$B$6,$B$13)</f>
        <v>1.1671651095686357</v>
      </c>
      <c r="J23" s="2">
        <f>_xll.EuropeanCallOptionPricer(J$19,$B$5,$F23,$B$10,$B$6,$B$13)</f>
        <v>2.3167379187458605</v>
      </c>
      <c r="K23" s="2">
        <f>_xll.EuropeanCallOptionPricer(K$19,$B$5,$F23,$B$10,$B$6,$B$13)</f>
        <v>3.3182269921889622</v>
      </c>
      <c r="L23" s="2">
        <f>_xll.EuropeanCallOptionPricer(L$19,$B$5,$F23,$B$10,$B$6,$B$13)</f>
        <v>4.2255873626821669</v>
      </c>
      <c r="M23" s="2">
        <f>_xll.EuropeanCallOptionPricer(M$19,$B$5,$F23,$B$10,$B$6,$B$13)</f>
        <v>5.0684127773983159</v>
      </c>
      <c r="N23" s="2">
        <f>_xll.EuropeanCallOptionPricer(N$19,$B$5,$F23,$B$10,$B$6,$B$13)</f>
        <v>5.863134579708225</v>
      </c>
      <c r="O23" s="2">
        <f>_xll.EuropeanCallOptionPricer(O$19,$B$5,$F23,$B$10,$B$6,$B$13)</f>
        <v>6.6202853078587784</v>
      </c>
      <c r="P23" s="2">
        <f>_xll.EuropeanCallOptionPricer(P$19,$B$5,$F23,$B$10,$B$6,$B$13)</f>
        <v>7.3478720474612507</v>
      </c>
      <c r="Q23" s="2">
        <f>_xll.EuropeanCallOptionPricer(Q$19,$B$5,$F23,$B$10,$B$6,$B$13)</f>
        <v>8.0506663695107985</v>
      </c>
    </row>
    <row r="24" spans="5:17">
      <c r="E24" s="27"/>
      <c r="F24" s="27">
        <v>98</v>
      </c>
      <c r="G24" s="2">
        <f>_xll.EuropeanCallOptionPricer(G$19,$B$5,$F24,$B$10,$B$6,$B$13)</f>
        <v>0.17991197863316122</v>
      </c>
      <c r="H24" s="2">
        <f>_xll.EuropeanCallOptionPricer(H$19,$B$5,$F24,$B$10,$B$6,$B$13)</f>
        <v>1.0734701754178226</v>
      </c>
      <c r="I24" s="2">
        <f>_xll.EuropeanCallOptionPricer(I$19,$B$5,$F24,$B$10,$B$6,$B$13)</f>
        <v>1.9039118940265376</v>
      </c>
      <c r="J24" s="2">
        <f>_xll.EuropeanCallOptionPricer(J$19,$B$5,$F24,$B$10,$B$6,$B$13)</f>
        <v>3.2035065841026844</v>
      </c>
      <c r="K24" s="2">
        <f>_xll.EuropeanCallOptionPricer(K$19,$B$5,$F24,$B$10,$B$6,$B$13)</f>
        <v>4.2833276347082938</v>
      </c>
      <c r="L24" s="2">
        <f>_xll.EuropeanCallOptionPricer(L$19,$B$5,$F24,$B$10,$B$6,$B$13)</f>
        <v>5.2462595920421506</v>
      </c>
      <c r="M24" s="2">
        <f>_xll.EuropeanCallOptionPricer(M$19,$B$5,$F24,$B$10,$B$6,$B$13)</f>
        <v>6.1335175407356548</v>
      </c>
      <c r="N24" s="2">
        <f>_xll.EuropeanCallOptionPricer(N$19,$B$5,$F24,$B$10,$B$6,$B$13)</f>
        <v>6.9660718738183363</v>
      </c>
      <c r="O24" s="2">
        <f>_xll.EuropeanCallOptionPricer(O$19,$B$5,$F24,$B$10,$B$6,$B$13)</f>
        <v>7.7568479835790578</v>
      </c>
      <c r="P24" s="2">
        <f>_xll.EuropeanCallOptionPricer(P$19,$B$5,$F24,$B$10,$B$6,$B$13)</f>
        <v>8.5139009927820144</v>
      </c>
      <c r="Q24" s="2">
        <f>_xll.EuropeanCallOptionPricer(Q$19,$B$5,$F24,$B$10,$B$6,$B$13)</f>
        <v>9.2429482217010968</v>
      </c>
    </row>
    <row r="25" spans="5:17">
      <c r="E25" s="27" t="s">
        <v>23</v>
      </c>
      <c r="F25" s="27">
        <v>100</v>
      </c>
      <c r="G25" s="2">
        <f>_xll.EuropeanCallOptionPricer(G$19,$B$5,$F25,$B$10,$B$6,$B$13)</f>
        <v>0.84690644074720256</v>
      </c>
      <c r="H25" s="2">
        <f>_xll.EuropeanCallOptionPricer(H$19,$B$5,$F25,$B$10,$B$6,$B$13)</f>
        <v>1.9793173380081905</v>
      </c>
      <c r="I25" s="2">
        <f>_xll.EuropeanCallOptionPricer(I$19,$B$5,$F25,$B$10,$B$6,$B$13)</f>
        <v>2.8902339875198426</v>
      </c>
      <c r="J25" s="2">
        <f>_xll.EuropeanCallOptionPricer(J$19,$B$5,$F25,$B$10,$B$6,$B$13)</f>
        <v>4.269699781743526</v>
      </c>
      <c r="K25" s="2">
        <f>_xll.EuropeanCallOptionPricer(K$19,$B$5,$F25,$B$10,$B$6,$B$13)</f>
        <v>5.4004821322844618</v>
      </c>
      <c r="L25" s="2">
        <f>_xll.EuropeanCallOptionPricer(L$19,$B$5,$F25,$B$10,$B$6,$B$13)</f>
        <v>6.4019830767137007</v>
      </c>
      <c r="M25" s="2">
        <f>_xll.EuropeanCallOptionPricer(M$19,$B$5,$F25,$B$10,$B$6,$B$13)</f>
        <v>7.3205687133017241</v>
      </c>
      <c r="N25" s="2">
        <f>_xll.EuropeanCallOptionPricer(N$19,$B$5,$F25,$B$10,$B$6,$B$13)</f>
        <v>8.1799975193152221</v>
      </c>
      <c r="O25" s="2">
        <f>_xll.EuropeanCallOptionPricer(O$19,$B$5,$F25,$B$10,$B$6,$B$13)</f>
        <v>8.9941749362143781</v>
      </c>
      <c r="P25" s="2">
        <f>_xll.EuropeanCallOptionPricer(P$19,$B$5,$F25,$B$10,$B$6,$B$13)</f>
        <v>9.7721887131388048</v>
      </c>
      <c r="Q25" s="2">
        <f>_xll.EuropeanCallOptionPricer(Q$19,$B$5,$F25,$B$10,$B$6,$B$13)</f>
        <v>10.520465872798926</v>
      </c>
    </row>
    <row r="26" spans="5:17">
      <c r="E26" s="27"/>
      <c r="F26" s="27">
        <v>102</v>
      </c>
      <c r="G26" s="2">
        <f>_xll.EuropeanCallOptionPricer(G$19,$B$5,$F26,$B$10,$B$6,$B$13)</f>
        <v>2.2538779711233099</v>
      </c>
      <c r="H26" s="2">
        <f>_xll.EuropeanCallOptionPricer(H$19,$B$5,$F26,$B$10,$B$6,$B$13)</f>
        <v>3.2397030464108689</v>
      </c>
      <c r="I26" s="2">
        <f>_xll.EuropeanCallOptionPricer(I$19,$B$5,$F26,$B$10,$B$6,$B$13)</f>
        <v>4.1310159823946178</v>
      </c>
      <c r="J26" s="2">
        <f>_xll.EuropeanCallOptionPricer(J$19,$B$5,$F26,$B$10,$B$6,$B$13)</f>
        <v>5.5167828365009326</v>
      </c>
      <c r="K26" s="2">
        <f>_xll.EuropeanCallOptionPricer(K$19,$B$5,$F26,$B$10,$B$6,$B$13)</f>
        <v>6.6634394271744579</v>
      </c>
      <c r="L26" s="2">
        <f>_xll.EuropeanCallOptionPricer(L$19,$B$5,$F26,$B$10,$B$6,$B$13)</f>
        <v>7.6819392170092939</v>
      </c>
      <c r="M26" s="2">
        <f>_xll.EuropeanCallOptionPricer(M$19,$B$5,$F26,$B$10,$B$6,$B$13)</f>
        <v>8.6171354144543315</v>
      </c>
      <c r="N26" s="2">
        <f>_xll.EuropeanCallOptionPricer(N$19,$B$5,$F26,$B$10,$B$6,$B$13)</f>
        <v>9.4923844388151331</v>
      </c>
      <c r="O26" s="2">
        <f>_xll.EuropeanCallOptionPricer(O$19,$B$5,$F26,$B$10,$B$6,$B$13)</f>
        <v>10.321661396009356</v>
      </c>
      <c r="P26" s="2">
        <f>_xll.EuropeanCallOptionPricer(P$19,$B$5,$F26,$B$10,$B$6,$B$13)</f>
        <v>11.114114009605338</v>
      </c>
      <c r="Q26" s="2">
        <f>_xll.EuropeanCallOptionPricer(Q$19,$B$5,$F26,$B$10,$B$6,$B$13)</f>
        <v>11.876141240369376</v>
      </c>
    </row>
    <row r="27" spans="5:17">
      <c r="E27" s="27"/>
      <c r="F27" s="27">
        <v>104</v>
      </c>
      <c r="G27" s="2">
        <f>_xll.EuropeanCallOptionPricer(G$19,$B$5,$F27,$B$10,$B$6,$B$13)</f>
        <v>4.1084002792414678</v>
      </c>
      <c r="H27" s="2">
        <f>_xll.EuropeanCallOptionPricer(H$19,$B$5,$F27,$B$10,$B$6,$B$13)</f>
        <v>4.7935065701674011</v>
      </c>
      <c r="I27" s="2">
        <f>_xll.EuropeanCallOptionPricer(I$19,$B$5,$F27,$B$10,$B$6,$B$13)</f>
        <v>5.5909843855437149</v>
      </c>
      <c r="J27" s="2">
        <f>_xll.EuropeanCallOptionPricer(J$19,$B$5,$F27,$B$10,$B$6,$B$13)</f>
        <v>6.9220485342733458</v>
      </c>
      <c r="K27" s="2">
        <f>_xll.EuropeanCallOptionPricer(K$19,$B$5,$F27,$B$10,$B$6,$B$13)</f>
        <v>8.0560694042015975</v>
      </c>
      <c r="L27" s="2">
        <f>_xll.EuropeanCallOptionPricer(L$19,$B$5,$F27,$B$10,$B$6,$B$13)</f>
        <v>9.0735453268097483</v>
      </c>
      <c r="M27" s="2">
        <f>_xll.EuropeanCallOptionPricer(M$19,$B$5,$F27,$B$10,$B$6,$B$13)</f>
        <v>10.012852454352576</v>
      </c>
      <c r="N27" s="2">
        <f>_xll.EuropeanCallOptionPricer(N$19,$B$5,$F27,$B$10,$B$6,$B$13)</f>
        <v>10.894539213211374</v>
      </c>
      <c r="O27" s="2">
        <f>_xll.EuropeanCallOptionPricer(O$19,$B$5,$F27,$B$10,$B$6,$B$13)</f>
        <v>11.731519367143939</v>
      </c>
      <c r="P27" s="2">
        <f>_xll.EuropeanCallOptionPricer(P$19,$B$5,$F27,$B$10,$B$6,$B$13)</f>
        <v>12.532373804171712</v>
      </c>
      <c r="Q27" s="2">
        <f>_xll.EuropeanCallOptionPricer(Q$19,$B$5,$F27,$B$10,$B$6,$B$13)</f>
        <v>13.303144809212018</v>
      </c>
    </row>
    <row r="28" spans="5:17">
      <c r="E28" s="27"/>
      <c r="F28" s="27">
        <v>106</v>
      </c>
      <c r="G28" s="2">
        <f>_xll.EuropeanCallOptionPricer(G$19,$B$5,$F28,$B$10,$B$6,$B$13)</f>
        <v>6.0917069158369301</v>
      </c>
      <c r="H28" s="2">
        <f>_xll.EuropeanCallOptionPricer(H$19,$B$5,$F28,$B$10,$B$6,$B$13)</f>
        <v>6.5555103505681549</v>
      </c>
      <c r="I28" s="2">
        <f>_xll.EuropeanCallOptionPricer(I$19,$B$5,$F28,$B$10,$B$6,$B$13)</f>
        <v>7.2291332270734623</v>
      </c>
      <c r="J28" s="2">
        <f>_xll.EuropeanCallOptionPricer(J$19,$B$5,$F28,$B$10,$B$6,$B$13)</f>
        <v>8.46521408682875</v>
      </c>
      <c r="K28" s="2">
        <f>_xll.EuropeanCallOptionPricer(K$19,$B$5,$F28,$B$10,$B$6,$B$13)</f>
        <v>9.5633803172430962</v>
      </c>
      <c r="L28" s="2">
        <f>_xll.EuropeanCallOptionPricer(L$19,$B$5,$F28,$B$10,$B$6,$B$13)</f>
        <v>10.565909290698086</v>
      </c>
      <c r="M28" s="2">
        <f>_xll.EuropeanCallOptionPricer(M$19,$B$5,$F28,$B$10,$B$6,$B$13)</f>
        <v>11.49881093106149</v>
      </c>
      <c r="N28" s="2">
        <f>_xll.EuropeanCallOptionPricer(N$19,$B$5,$F28,$B$10,$B$6,$B$13)</f>
        <v>12.379130890726056</v>
      </c>
      <c r="O28" s="2">
        <f>_xll.EuropeanCallOptionPricer(O$19,$B$5,$F28,$B$10,$B$6,$B$13)</f>
        <v>13.217859892821286</v>
      </c>
      <c r="P28" s="2">
        <f>_xll.EuropeanCallOptionPricer(P$19,$B$5,$F28,$B$10,$B$6,$B$13)</f>
        <v>14.022140279229006</v>
      </c>
      <c r="Q28" s="2">
        <f>_xll.EuropeanCallOptionPricer(Q$19,$B$5,$F28,$B$10,$B$6,$B$13)</f>
        <v>14.797500998550685</v>
      </c>
    </row>
    <row r="29" spans="5:17">
      <c r="E29" s="27"/>
      <c r="F29" s="27">
        <v>108</v>
      </c>
      <c r="G29" s="2">
        <f>_xll.EuropeanCallOptionPricer(G$19,$B$5,$F29,$B$10,$B$6,$B$13)</f>
        <v>8.0916882292093124</v>
      </c>
      <c r="H29" s="2">
        <f>_xll.EuropeanCallOptionPricer(H$19,$B$5,$F29,$B$10,$B$6,$B$13)</f>
        <v>8.4423799949035843</v>
      </c>
      <c r="I29" s="2">
        <f>_xll.EuropeanCallOptionPricer(I$19,$B$5,$F29,$B$10,$B$6,$B$13)</f>
        <v>9.0002234167922737</v>
      </c>
      <c r="J29" s="2">
        <f>_xll.EuropeanCallOptionPricer(J$19,$B$5,$F29,$B$10,$B$6,$B$13)</f>
        <v>10.124204502903401</v>
      </c>
      <c r="K29" s="2">
        <f>_xll.EuropeanCallOptionPricer(K$19,$B$5,$F29,$B$10,$B$6,$B$13)</f>
        <v>11.171925368019846</v>
      </c>
      <c r="L29" s="2">
        <f>_xll.EuropeanCallOptionPricer(L$19,$B$5,$F29,$B$10,$B$6,$B$13)</f>
        <v>12.147689967909207</v>
      </c>
      <c r="M29" s="2">
        <f>_xll.EuropeanCallOptionPricer(M$19,$B$5,$F29,$B$10,$B$6,$B$13)</f>
        <v>13.066364752410252</v>
      </c>
      <c r="N29" s="2">
        <f>_xll.EuropeanCallOptionPricer(N$19,$B$5,$F29,$B$10,$B$6,$B$13)</f>
        <v>13.938923085481344</v>
      </c>
      <c r="O29" s="2">
        <f>_xll.EuropeanCallOptionPricer(O$19,$B$5,$F29,$B$10,$B$6,$B$13)</f>
        <v>14.773747950474696</v>
      </c>
      <c r="P29" s="2">
        <f>_xll.EuropeanCallOptionPricer(P$19,$B$5,$F29,$B$10,$B$6,$B$13)</f>
        <v>15.576726469220047</v>
      </c>
      <c r="Q29" s="2">
        <f>_xll.EuropeanCallOptionPricer(Q$19,$B$5,$F29,$B$10,$B$6,$B$13)</f>
        <v>16.352521376574053</v>
      </c>
    </row>
    <row r="30" spans="5:17">
      <c r="E30" s="27"/>
      <c r="F30" s="27">
        <v>110</v>
      </c>
      <c r="G30" s="2">
        <f>_xll.EuropeanCallOptionPricer(G$19,$B$5,$F30,$B$10,$B$6,$B$13)</f>
        <v>10.092275381535405</v>
      </c>
      <c r="H30" s="2">
        <f>_xll.EuropeanCallOptionPricer(H$19,$B$5,$F30,$B$10,$B$6,$B$13)</f>
        <v>10.395377974968559</v>
      </c>
      <c r="I30" s="2">
        <f>_xll.EuropeanCallOptionPricer(I$19,$B$5,$F30,$B$10,$B$6,$B$13)</f>
        <v>10.861476607161402</v>
      </c>
      <c r="J30" s="2">
        <f>_xll.EuropeanCallOptionPricer(J$19,$B$5,$F30,$B$10,$B$6,$B$13)</f>
        <v>11.87807830843489</v>
      </c>
      <c r="K30" s="2">
        <f>_xll.EuropeanCallOptionPricer(K$19,$B$5,$F30,$B$10,$B$6,$B$13)</f>
        <v>12.866402934163586</v>
      </c>
      <c r="L30" s="2">
        <f>_xll.EuropeanCallOptionPricer(L$19,$B$5,$F30,$B$10,$B$6,$B$13)</f>
        <v>13.808439527246659</v>
      </c>
      <c r="M30" s="2">
        <f>_xll.EuropeanCallOptionPricer(M$19,$B$5,$F30,$B$10,$B$6,$B$13)</f>
        <v>14.706159529937795</v>
      </c>
      <c r="N30" s="2">
        <f>_xll.EuropeanCallOptionPricer(N$19,$B$5,$F30,$B$10,$B$6,$B$13)</f>
        <v>15.565144422256994</v>
      </c>
      <c r="O30" s="2">
        <f>_xll.EuropeanCallOptionPricer(O$19,$B$5,$F30,$B$10,$B$6,$B$13)</f>
        <v>16.391740855851438</v>
      </c>
      <c r="P30" s="2">
        <f>_xll.EuropeanCallOptionPricer(P$19,$B$5,$F30,$B$10,$B$6,$B$13)</f>
        <v>17.189630568072989</v>
      </c>
      <c r="Q30" s="2">
        <f>_xll.EuropeanCallOptionPricer(Q$19,$B$5,$F30,$B$10,$B$6,$B$13)</f>
        <v>17.962636066418934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AV vs. no AV</vt:lpstr>
      <vt:lpstr>Convergence</vt:lpstr>
      <vt:lpstr>European</vt:lpstr>
      <vt:lpstr>plots BS</vt:lpstr>
      <vt:lpstr>plots MC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Sakowski</dc:creator>
  <cp:lastModifiedBy>Paweł Sakowski</cp:lastModifiedBy>
  <dcterms:created xsi:type="dcterms:W3CDTF">2012-03-21T13:34:25Z</dcterms:created>
  <dcterms:modified xsi:type="dcterms:W3CDTF">2020-05-12T12:58:57Z</dcterms:modified>
</cp:coreProperties>
</file>