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5600" windowHeight="7530"/>
  </bookViews>
  <sheets>
    <sheet name="AV vs. no AV" sheetId="8" r:id="rId1"/>
    <sheet name="Convergence" sheetId="11" r:id="rId2"/>
    <sheet name="European" sheetId="7" r:id="rId3"/>
    <sheet name="plots BS" sheetId="9" r:id="rId4"/>
    <sheet name="plots MC" sheetId="10" r:id="rId5"/>
  </sheets>
  <calcPr calcId="125725"/>
</workbook>
</file>

<file path=xl/calcChain.xml><?xml version="1.0" encoding="utf-8"?>
<calcChain xmlns="http://schemas.openxmlformats.org/spreadsheetml/2006/main">
  <c r="F56" i="7"/>
  <c r="F55"/>
  <c r="E56"/>
  <c r="E55"/>
  <c r="C106" i="8" l="1"/>
  <c r="C105"/>
  <c r="B13" i="9"/>
  <c r="B12"/>
  <c r="G56" i="7"/>
  <c r="D106" i="8"/>
  <c r="D105"/>
</calcChain>
</file>

<file path=xl/sharedStrings.xml><?xml version="1.0" encoding="utf-8"?>
<sst xmlns="http://schemas.openxmlformats.org/spreadsheetml/2006/main" count="51" uniqueCount="36">
  <si>
    <t>Dividend yield (q)</t>
  </si>
  <si>
    <t>Time maturity (T, years)</t>
  </si>
  <si>
    <t>Volatility (s)</t>
  </si>
  <si>
    <t>Strike (X)</t>
  </si>
  <si>
    <t>Spot (S)</t>
  </si>
  <si>
    <t>Risk-free rate (r)</t>
  </si>
  <si>
    <t>Standard deviation of option prices with and witout antithetic variates</t>
  </si>
  <si>
    <t>MC European Call C++ without AV</t>
  </si>
  <si>
    <t>MC European Call C++ with AV</t>
  </si>
  <si>
    <t>mean</t>
  </si>
  <si>
    <t>std dev.</t>
  </si>
  <si>
    <t>stdev</t>
  </si>
  <si>
    <t>max=</t>
  </si>
  <si>
    <t>min=</t>
  </si>
  <si>
    <t>Interest rate</t>
  </si>
  <si>
    <t>Exercise price</t>
  </si>
  <si>
    <t>Share price</t>
  </si>
  <si>
    <t>Dividend yield</t>
  </si>
  <si>
    <t>Time maturity</t>
  </si>
  <si>
    <t>Volatility</t>
  </si>
  <si>
    <t>number of simulations for VBA function</t>
  </si>
  <si>
    <t>number of simulations for C++ function</t>
  </si>
  <si>
    <t>strike</t>
  </si>
  <si>
    <t>spot</t>
  </si>
  <si>
    <t>time to maturity</t>
  </si>
  <si>
    <t>European MC value C++</t>
  </si>
  <si>
    <t>number of paths</t>
  </si>
  <si>
    <t>BS price</t>
  </si>
  <si>
    <t>risk-free rate</t>
  </si>
  <si>
    <t>dividend</t>
  </si>
  <si>
    <t>volatility</t>
  </si>
  <si>
    <t>MC price</t>
  </si>
  <si>
    <t>Euroepan MC value VBA</t>
  </si>
  <si>
    <t>Using Monte Carlo Simulation for European Call Option Pricing</t>
  </si>
  <si>
    <t>Using Black-Scholes Formula to Value European Call Options</t>
  </si>
  <si>
    <t>Using Monte Carlo Simulation to Value European Call Options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</si>
</sst>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General_)"/>
    <numFmt numFmtId="166" formatCode="0.000"/>
  </numFmts>
  <fonts count="8">
    <font>
      <sz val="11"/>
      <color theme="1"/>
      <name val="Czcionka tekstu podstawowego"/>
      <family val="2"/>
      <charset val="238"/>
    </font>
    <font>
      <sz val="10"/>
      <name val="Times New Roman"/>
      <family val="1"/>
      <charset val="238"/>
    </font>
    <font>
      <sz val="10"/>
      <name val="Times New Roman"/>
      <family val="1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color theme="1"/>
      <name val="Czcionka tekstu podstawowego"/>
      <charset val="238"/>
    </font>
    <font>
      <sz val="10"/>
      <color theme="1"/>
      <name val="Czcionka tekstu podstawowego"/>
      <charset val="238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2" fillId="0" borderId="0"/>
  </cellStyleXfs>
  <cellXfs count="34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applyFont="1"/>
    <xf numFmtId="0" fontId="4" fillId="0" borderId="0" xfId="0" quotePrefix="1" applyFont="1" applyAlignment="1">
      <alignment horizontal="left"/>
    </xf>
    <xf numFmtId="2" fontId="3" fillId="0" borderId="0" xfId="0" applyNumberFormat="1" applyFont="1"/>
    <xf numFmtId="0" fontId="4" fillId="0" borderId="0" xfId="0" applyFont="1" applyAlignment="1">
      <alignment horizontal="right"/>
    </xf>
    <xf numFmtId="10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0" fontId="5" fillId="0" borderId="0" xfId="0" applyFont="1"/>
    <xf numFmtId="0" fontId="3" fillId="2" borderId="2" xfId="0" quotePrefix="1" applyFont="1" applyFill="1" applyBorder="1" applyAlignment="1">
      <alignment horizontal="left"/>
    </xf>
    <xf numFmtId="0" fontId="4" fillId="2" borderId="3" xfId="0" applyFont="1" applyFill="1" applyBorder="1"/>
    <xf numFmtId="0" fontId="4" fillId="2" borderId="4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1" xfId="0" applyFont="1" applyFill="1" applyBorder="1"/>
    <xf numFmtId="2" fontId="5" fillId="2" borderId="1" xfId="0" applyNumberFormat="1" applyFont="1" applyFill="1" applyBorder="1"/>
    <xf numFmtId="2" fontId="3" fillId="4" borderId="1" xfId="0" applyNumberFormat="1" applyFont="1" applyFill="1" applyBorder="1"/>
    <xf numFmtId="2" fontId="3" fillId="5" borderId="1" xfId="0" quotePrefix="1" applyNumberFormat="1" applyFont="1" applyFill="1" applyBorder="1" applyAlignment="1">
      <alignment horizontal="left"/>
    </xf>
    <xf numFmtId="0" fontId="4" fillId="3" borderId="1" xfId="0" applyFont="1" applyFill="1" applyBorder="1"/>
    <xf numFmtId="0" fontId="4" fillId="0" borderId="0" xfId="0" applyFont="1" applyAlignment="1">
      <alignment horizontal="left"/>
    </xf>
    <xf numFmtId="0" fontId="3" fillId="0" borderId="0" xfId="0" applyNumberFormat="1" applyFont="1"/>
    <xf numFmtId="0" fontId="3" fillId="2" borderId="4" xfId="0" quotePrefix="1" applyFont="1" applyFill="1" applyBorder="1" applyAlignment="1">
      <alignment horizontal="left"/>
    </xf>
    <xf numFmtId="0" fontId="3" fillId="5" borderId="1" xfId="0" applyNumberFormat="1" applyFont="1" applyFill="1" applyBorder="1" applyAlignment="1">
      <alignment horizontal="left" wrapText="1"/>
    </xf>
    <xf numFmtId="0" fontId="6" fillId="0" borderId="0" xfId="0" applyFont="1" applyAlignment="1">
      <alignment horizontal="right"/>
    </xf>
    <xf numFmtId="2" fontId="7" fillId="6" borderId="1" xfId="0" applyNumberFormat="1" applyFont="1" applyFill="1" applyBorder="1"/>
    <xf numFmtId="0" fontId="7" fillId="6" borderId="1" xfId="0" applyFont="1" applyFill="1" applyBorder="1"/>
    <xf numFmtId="0" fontId="4" fillId="7" borderId="0" xfId="0" applyFont="1" applyFill="1"/>
    <xf numFmtId="166" fontId="4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centerContinuous"/>
    </xf>
    <xf numFmtId="0" fontId="0" fillId="3" borderId="1" xfId="0" applyFill="1" applyBorder="1"/>
    <xf numFmtId="0" fontId="0" fillId="0" borderId="1" xfId="0" applyBorder="1"/>
    <xf numFmtId="0" fontId="0" fillId="8" borderId="1" xfId="0" applyFill="1" applyBorder="1"/>
  </cellXfs>
  <cellStyles count="3">
    <cellStyle name="Normal_Call" xfId="2"/>
    <cellStyle name="Normalny" xfId="0" builtinId="0"/>
    <cellStyle name="Normalny 2" xfId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plotArea>
      <c:layout/>
      <c:scatterChart>
        <c:scatterStyle val="lineMarker"/>
        <c:ser>
          <c:idx val="0"/>
          <c:order val="0"/>
          <c:tx>
            <c:strRef>
              <c:f>Convergence!$E$1</c:f>
              <c:strCache>
                <c:ptCount val="1"/>
                <c:pt idx="0">
                  <c:v>BS price</c:v>
                </c:pt>
              </c:strCache>
            </c:strRef>
          </c:tx>
          <c:xVal>
            <c:numRef>
              <c:f>Convergence!$D$2:$D$17</c:f>
              <c:numCache>
                <c:formatCode>General</c:formatCode>
                <c:ptCount val="1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1200</c:v>
                </c:pt>
                <c:pt idx="11">
                  <c:v>1400</c:v>
                </c:pt>
                <c:pt idx="12">
                  <c:v>1600</c:v>
                </c:pt>
                <c:pt idx="13">
                  <c:v>2000</c:v>
                </c:pt>
                <c:pt idx="14">
                  <c:v>5000</c:v>
                </c:pt>
                <c:pt idx="15">
                  <c:v>10000</c:v>
                </c:pt>
              </c:numCache>
            </c:numRef>
          </c:xVal>
          <c:yVal>
            <c:numRef>
              <c:f>Convergence!$E$2:$E$17</c:f>
              <c:numCache>
                <c:formatCode>General</c:formatCode>
                <c:ptCount val="16"/>
              </c:numCache>
            </c:numRef>
          </c:yVal>
        </c:ser>
        <c:ser>
          <c:idx val="1"/>
          <c:order val="1"/>
          <c:tx>
            <c:strRef>
              <c:f>Convergence!$F$1</c:f>
              <c:strCache>
                <c:ptCount val="1"/>
                <c:pt idx="0">
                  <c:v>MC price</c:v>
                </c:pt>
              </c:strCache>
            </c:strRef>
          </c:tx>
          <c:xVal>
            <c:numRef>
              <c:f>Convergence!$D$2:$D$17</c:f>
              <c:numCache>
                <c:formatCode>General</c:formatCode>
                <c:ptCount val="1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1200</c:v>
                </c:pt>
                <c:pt idx="11">
                  <c:v>1400</c:v>
                </c:pt>
                <c:pt idx="12">
                  <c:v>1600</c:v>
                </c:pt>
                <c:pt idx="13">
                  <c:v>2000</c:v>
                </c:pt>
                <c:pt idx="14">
                  <c:v>5000</c:v>
                </c:pt>
                <c:pt idx="15">
                  <c:v>10000</c:v>
                </c:pt>
              </c:numCache>
            </c:numRef>
          </c:xVal>
          <c:yVal>
            <c:numRef>
              <c:f>Convergence!$F$2:$F$17</c:f>
              <c:numCache>
                <c:formatCode>General</c:formatCode>
                <c:ptCount val="16"/>
              </c:numCache>
            </c:numRef>
          </c:yVal>
        </c:ser>
        <c:axId val="310926336"/>
        <c:axId val="318358272"/>
      </c:scatterChart>
      <c:valAx>
        <c:axId val="310926336"/>
        <c:scaling>
          <c:orientation val="minMax"/>
        </c:scaling>
        <c:axPos val="b"/>
        <c:numFmt formatCode="General" sourceLinked="1"/>
        <c:tickLblPos val="nextTo"/>
        <c:crossAx val="318358272"/>
        <c:crosses val="autoZero"/>
        <c:crossBetween val="midCat"/>
      </c:valAx>
      <c:valAx>
        <c:axId val="318358272"/>
        <c:scaling>
          <c:orientation val="minMax"/>
        </c:scaling>
        <c:axPos val="l"/>
        <c:majorGridlines/>
        <c:numFmt formatCode="General" sourceLinked="1"/>
        <c:tickLblPos val="nextTo"/>
        <c:crossAx val="3109263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BS'!$F$5</c:f>
              <c:strCache>
                <c:ptCount val="1"/>
                <c:pt idx="0">
                  <c:v>95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BS'!$G$5:$Q$5</c:f>
              <c:numCache>
                <c:formatCode>0.000</c:formatCode>
                <c:ptCount val="11"/>
              </c:numCache>
            </c:numRef>
          </c:val>
        </c:ser>
        <c:ser>
          <c:idx val="1"/>
          <c:order val="1"/>
          <c:tx>
            <c:strRef>
              <c:f>'plots BS'!$F$6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BS'!$G$6:$Q$6</c:f>
              <c:numCache>
                <c:formatCode>0.000</c:formatCode>
                <c:ptCount val="11"/>
              </c:numCache>
            </c:numRef>
          </c:val>
        </c:ser>
        <c:ser>
          <c:idx val="2"/>
          <c:order val="2"/>
          <c:tx>
            <c:strRef>
              <c:f>'plots BS'!$F$7</c:f>
              <c:strCache>
                <c:ptCount val="1"/>
                <c:pt idx="0">
                  <c:v>97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BS'!$G$7:$Q$7</c:f>
              <c:numCache>
                <c:formatCode>0.000</c:formatCode>
                <c:ptCount val="11"/>
              </c:numCache>
            </c:numRef>
          </c:val>
        </c:ser>
        <c:ser>
          <c:idx val="3"/>
          <c:order val="3"/>
          <c:tx>
            <c:strRef>
              <c:f>'plots BS'!$F$8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BS'!$G$8:$Q$8</c:f>
              <c:numCache>
                <c:formatCode>0.000</c:formatCode>
                <c:ptCount val="11"/>
              </c:numCache>
            </c:numRef>
          </c:val>
        </c:ser>
        <c:ser>
          <c:idx val="4"/>
          <c:order val="4"/>
          <c:tx>
            <c:strRef>
              <c:f>'plots BS'!$F$9</c:f>
              <c:strCache>
                <c:ptCount val="1"/>
                <c:pt idx="0">
                  <c:v>99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BS'!$G$9:$Q$9</c:f>
              <c:numCache>
                <c:formatCode>0.000</c:formatCode>
                <c:ptCount val="11"/>
              </c:numCache>
            </c:numRef>
          </c:val>
        </c:ser>
        <c:ser>
          <c:idx val="5"/>
          <c:order val="5"/>
          <c:tx>
            <c:strRef>
              <c:f>'plots BS'!$F$10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BS'!$G$10:$Q$10</c:f>
              <c:numCache>
                <c:formatCode>0.000</c:formatCode>
                <c:ptCount val="11"/>
              </c:numCache>
            </c:numRef>
          </c:val>
        </c:ser>
        <c:ser>
          <c:idx val="6"/>
          <c:order val="6"/>
          <c:tx>
            <c:strRef>
              <c:f>'plots BS'!$F$11</c:f>
              <c:strCache>
                <c:ptCount val="1"/>
                <c:pt idx="0">
                  <c:v>101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BS'!$G$11:$Q$11</c:f>
              <c:numCache>
                <c:formatCode>0.000</c:formatCode>
                <c:ptCount val="11"/>
              </c:numCache>
            </c:numRef>
          </c:val>
        </c:ser>
        <c:ser>
          <c:idx val="7"/>
          <c:order val="7"/>
          <c:tx>
            <c:strRef>
              <c:f>'plots BS'!$F$12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BS'!$G$12:$Q$12</c:f>
              <c:numCache>
                <c:formatCode>0.000</c:formatCode>
                <c:ptCount val="11"/>
              </c:numCache>
            </c:numRef>
          </c:val>
        </c:ser>
        <c:ser>
          <c:idx val="8"/>
          <c:order val="8"/>
          <c:tx>
            <c:strRef>
              <c:f>'plots BS'!$F$13</c:f>
              <c:strCache>
                <c:ptCount val="1"/>
                <c:pt idx="0">
                  <c:v>103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BS'!$G$13:$Q$13</c:f>
              <c:numCache>
                <c:formatCode>0.000</c:formatCode>
                <c:ptCount val="11"/>
              </c:numCache>
            </c:numRef>
          </c:val>
        </c:ser>
        <c:ser>
          <c:idx val="9"/>
          <c:order val="9"/>
          <c:tx>
            <c:strRef>
              <c:f>'plots BS'!$F$14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BS'!$G$14:$Q$14</c:f>
              <c:numCache>
                <c:formatCode>0.000</c:formatCode>
                <c:ptCount val="11"/>
              </c:numCache>
            </c:numRef>
          </c:val>
        </c:ser>
        <c:ser>
          <c:idx val="10"/>
          <c:order val="10"/>
          <c:tx>
            <c:strRef>
              <c:f>'plots BS'!$F$15</c:f>
              <c:strCache>
                <c:ptCount val="1"/>
                <c:pt idx="0">
                  <c:v>105</c:v>
                </c:pt>
              </c:strCache>
            </c:strRef>
          </c:tx>
          <c:cat>
            <c:numRef>
              <c:f>'plots BS'!$G$4:$Q$4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BS'!$G$15:$Q$15</c:f>
              <c:numCache>
                <c:formatCode>0.000</c:formatCode>
                <c:ptCount val="11"/>
              </c:numCache>
            </c:numRef>
          </c:val>
        </c:ser>
        <c:bandFmts/>
        <c:axId val="344647552"/>
        <c:axId val="344649088"/>
        <c:axId val="344639680"/>
      </c:surface3DChart>
      <c:catAx>
        <c:axId val="344647552"/>
        <c:scaling>
          <c:orientation val="minMax"/>
        </c:scaling>
        <c:axPos val="b"/>
        <c:numFmt formatCode="General" sourceLinked="1"/>
        <c:tickLblPos val="nextTo"/>
        <c:crossAx val="344649088"/>
        <c:crosses val="autoZero"/>
        <c:auto val="1"/>
        <c:lblAlgn val="ctr"/>
        <c:lblOffset val="100"/>
      </c:catAx>
      <c:valAx>
        <c:axId val="344649088"/>
        <c:scaling>
          <c:orientation val="minMax"/>
        </c:scaling>
        <c:axPos val="r"/>
        <c:majorGridlines/>
        <c:numFmt formatCode="0.000" sourceLinked="1"/>
        <c:tickLblPos val="nextTo"/>
        <c:crossAx val="344647552"/>
        <c:crosses val="autoZero"/>
        <c:crossBetween val="midCat"/>
      </c:valAx>
      <c:serAx>
        <c:axId val="344639680"/>
        <c:scaling>
          <c:orientation val="minMax"/>
        </c:scaling>
        <c:axPos val="b"/>
        <c:tickLblPos val="nextTo"/>
        <c:crossAx val="344649088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BS'!$F$20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BS'!$G$20:$Q$20</c:f>
              <c:numCache>
                <c:formatCode>General</c:formatCode>
                <c:ptCount val="11"/>
              </c:numCache>
            </c:numRef>
          </c:val>
        </c:ser>
        <c:ser>
          <c:idx val="1"/>
          <c:order val="1"/>
          <c:tx>
            <c:strRef>
              <c:f>'plots BS'!$F$21</c:f>
              <c:strCache>
                <c:ptCount val="1"/>
                <c:pt idx="0">
                  <c:v>92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BS'!$G$21:$Q$21</c:f>
              <c:numCache>
                <c:formatCode>General</c:formatCode>
                <c:ptCount val="11"/>
              </c:numCache>
            </c:numRef>
          </c:val>
        </c:ser>
        <c:ser>
          <c:idx val="2"/>
          <c:order val="2"/>
          <c:tx>
            <c:strRef>
              <c:f>'plots BS'!$F$22</c:f>
              <c:strCache>
                <c:ptCount val="1"/>
                <c:pt idx="0">
                  <c:v>94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BS'!$G$22:$Q$22</c:f>
              <c:numCache>
                <c:formatCode>General</c:formatCode>
                <c:ptCount val="11"/>
              </c:numCache>
            </c:numRef>
          </c:val>
        </c:ser>
        <c:ser>
          <c:idx val="3"/>
          <c:order val="3"/>
          <c:tx>
            <c:strRef>
              <c:f>'plots BS'!$F$23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BS'!$G$23:$Q$23</c:f>
              <c:numCache>
                <c:formatCode>General</c:formatCode>
                <c:ptCount val="11"/>
              </c:numCache>
            </c:numRef>
          </c:val>
        </c:ser>
        <c:ser>
          <c:idx val="4"/>
          <c:order val="4"/>
          <c:tx>
            <c:strRef>
              <c:f>'plots BS'!$F$24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BS'!$G$24:$Q$24</c:f>
              <c:numCache>
                <c:formatCode>General</c:formatCode>
                <c:ptCount val="11"/>
              </c:numCache>
            </c:numRef>
          </c:val>
        </c:ser>
        <c:ser>
          <c:idx val="5"/>
          <c:order val="5"/>
          <c:tx>
            <c:strRef>
              <c:f>'plots BS'!$F$25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BS'!$G$25:$Q$25</c:f>
              <c:numCache>
                <c:formatCode>General</c:formatCode>
                <c:ptCount val="11"/>
              </c:numCache>
            </c:numRef>
          </c:val>
        </c:ser>
        <c:ser>
          <c:idx val="6"/>
          <c:order val="6"/>
          <c:tx>
            <c:strRef>
              <c:f>'plots BS'!$F$26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BS'!$G$26:$Q$26</c:f>
              <c:numCache>
                <c:formatCode>General</c:formatCode>
                <c:ptCount val="11"/>
              </c:numCache>
            </c:numRef>
          </c:val>
        </c:ser>
        <c:ser>
          <c:idx val="7"/>
          <c:order val="7"/>
          <c:tx>
            <c:strRef>
              <c:f>'plots BS'!$F$27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BS'!$G$27:$Q$27</c:f>
              <c:numCache>
                <c:formatCode>General</c:formatCode>
                <c:ptCount val="11"/>
              </c:numCache>
            </c:numRef>
          </c:val>
        </c:ser>
        <c:ser>
          <c:idx val="8"/>
          <c:order val="8"/>
          <c:tx>
            <c:strRef>
              <c:f>'plots BS'!$F$28</c:f>
              <c:strCache>
                <c:ptCount val="1"/>
                <c:pt idx="0">
                  <c:v>106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BS'!$G$28:$Q$28</c:f>
              <c:numCache>
                <c:formatCode>General</c:formatCode>
                <c:ptCount val="11"/>
              </c:numCache>
            </c:numRef>
          </c:val>
        </c:ser>
        <c:ser>
          <c:idx val="9"/>
          <c:order val="9"/>
          <c:tx>
            <c:strRef>
              <c:f>'plots BS'!$F$29</c:f>
              <c:strCache>
                <c:ptCount val="1"/>
                <c:pt idx="0">
                  <c:v>108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BS'!$G$29:$Q$29</c:f>
              <c:numCache>
                <c:formatCode>General</c:formatCode>
                <c:ptCount val="11"/>
              </c:numCache>
            </c:numRef>
          </c:val>
        </c:ser>
        <c:ser>
          <c:idx val="10"/>
          <c:order val="10"/>
          <c:tx>
            <c:strRef>
              <c:f>'plots BS'!$F$30</c:f>
              <c:strCache>
                <c:ptCount val="1"/>
                <c:pt idx="0">
                  <c:v>110</c:v>
                </c:pt>
              </c:strCache>
            </c:strRef>
          </c:tx>
          <c:cat>
            <c:numRef>
              <c:f>'plots BS'!$G$19:$Q$19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BS'!$G$30:$Q$30</c:f>
              <c:numCache>
                <c:formatCode>General</c:formatCode>
                <c:ptCount val="11"/>
              </c:numCache>
            </c:numRef>
          </c:val>
        </c:ser>
        <c:bandFmts/>
        <c:axId val="349192576"/>
        <c:axId val="349194112"/>
        <c:axId val="344713856"/>
      </c:surface3DChart>
      <c:catAx>
        <c:axId val="349192576"/>
        <c:scaling>
          <c:orientation val="minMax"/>
        </c:scaling>
        <c:axPos val="b"/>
        <c:numFmt formatCode="General" sourceLinked="1"/>
        <c:tickLblPos val="nextTo"/>
        <c:crossAx val="349194112"/>
        <c:crosses val="autoZero"/>
        <c:auto val="1"/>
        <c:lblAlgn val="ctr"/>
        <c:lblOffset val="100"/>
      </c:catAx>
      <c:valAx>
        <c:axId val="349194112"/>
        <c:scaling>
          <c:orientation val="minMax"/>
        </c:scaling>
        <c:axPos val="r"/>
        <c:majorGridlines/>
        <c:numFmt formatCode="General" sourceLinked="1"/>
        <c:tickLblPos val="nextTo"/>
        <c:crossAx val="349192576"/>
        <c:crosses val="autoZero"/>
        <c:crossBetween val="midCat"/>
      </c:valAx>
      <c:serAx>
        <c:axId val="344713856"/>
        <c:scaling>
          <c:orientation val="minMax"/>
        </c:scaling>
        <c:axPos val="b"/>
        <c:tickLblPos val="nextTo"/>
        <c:crossAx val="349194112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MC'!$F$5</c:f>
              <c:strCache>
                <c:ptCount val="1"/>
                <c:pt idx="0">
                  <c:v>95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MC'!$G$5:$Q$5</c:f>
              <c:numCache>
                <c:formatCode>0.000</c:formatCode>
                <c:ptCount val="11"/>
              </c:numCache>
            </c:numRef>
          </c:val>
        </c:ser>
        <c:ser>
          <c:idx val="1"/>
          <c:order val="1"/>
          <c:tx>
            <c:strRef>
              <c:f>'plots MC'!$F$6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MC'!$G$6:$Q$6</c:f>
              <c:numCache>
                <c:formatCode>0.000</c:formatCode>
                <c:ptCount val="11"/>
              </c:numCache>
            </c:numRef>
          </c:val>
        </c:ser>
        <c:ser>
          <c:idx val="2"/>
          <c:order val="2"/>
          <c:tx>
            <c:strRef>
              <c:f>'plots MC'!$F$7</c:f>
              <c:strCache>
                <c:ptCount val="1"/>
                <c:pt idx="0">
                  <c:v>97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MC'!$G$7:$Q$7</c:f>
              <c:numCache>
                <c:formatCode>0.000</c:formatCode>
                <c:ptCount val="11"/>
              </c:numCache>
            </c:numRef>
          </c:val>
        </c:ser>
        <c:ser>
          <c:idx val="3"/>
          <c:order val="3"/>
          <c:tx>
            <c:strRef>
              <c:f>'plots MC'!$F$8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MC'!$G$8:$Q$8</c:f>
              <c:numCache>
                <c:formatCode>0.000</c:formatCode>
                <c:ptCount val="11"/>
              </c:numCache>
            </c:numRef>
          </c:val>
        </c:ser>
        <c:ser>
          <c:idx val="4"/>
          <c:order val="4"/>
          <c:tx>
            <c:strRef>
              <c:f>'plots MC'!$F$9</c:f>
              <c:strCache>
                <c:ptCount val="1"/>
                <c:pt idx="0">
                  <c:v>99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MC'!$G$9:$Q$9</c:f>
              <c:numCache>
                <c:formatCode>0.000</c:formatCode>
                <c:ptCount val="11"/>
              </c:numCache>
            </c:numRef>
          </c:val>
        </c:ser>
        <c:ser>
          <c:idx val="5"/>
          <c:order val="5"/>
          <c:tx>
            <c:strRef>
              <c:f>'plots MC'!$F$10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MC'!$G$10:$Q$10</c:f>
              <c:numCache>
                <c:formatCode>0.000</c:formatCode>
                <c:ptCount val="11"/>
              </c:numCache>
            </c:numRef>
          </c:val>
        </c:ser>
        <c:ser>
          <c:idx val="6"/>
          <c:order val="6"/>
          <c:tx>
            <c:strRef>
              <c:f>'plots MC'!$F$11</c:f>
              <c:strCache>
                <c:ptCount val="1"/>
                <c:pt idx="0">
                  <c:v>101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MC'!$G$11:$Q$11</c:f>
              <c:numCache>
                <c:formatCode>0.000</c:formatCode>
                <c:ptCount val="11"/>
              </c:numCache>
            </c:numRef>
          </c:val>
        </c:ser>
        <c:ser>
          <c:idx val="7"/>
          <c:order val="7"/>
          <c:tx>
            <c:strRef>
              <c:f>'plots MC'!$F$12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MC'!$G$12:$Q$12</c:f>
              <c:numCache>
                <c:formatCode>0.000</c:formatCode>
                <c:ptCount val="11"/>
              </c:numCache>
            </c:numRef>
          </c:val>
        </c:ser>
        <c:ser>
          <c:idx val="8"/>
          <c:order val="8"/>
          <c:tx>
            <c:strRef>
              <c:f>'plots MC'!$F$13</c:f>
              <c:strCache>
                <c:ptCount val="1"/>
                <c:pt idx="0">
                  <c:v>103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MC'!$G$13:$Q$13</c:f>
              <c:numCache>
                <c:formatCode>0.000</c:formatCode>
                <c:ptCount val="11"/>
              </c:numCache>
            </c:numRef>
          </c:val>
        </c:ser>
        <c:ser>
          <c:idx val="9"/>
          <c:order val="9"/>
          <c:tx>
            <c:strRef>
              <c:f>'plots MC'!$F$14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MC'!$G$14:$Q$14</c:f>
              <c:numCache>
                <c:formatCode>0.000</c:formatCode>
                <c:ptCount val="11"/>
              </c:numCache>
            </c:numRef>
          </c:val>
        </c:ser>
        <c:ser>
          <c:idx val="10"/>
          <c:order val="10"/>
          <c:tx>
            <c:strRef>
              <c:f>'plots MC'!$F$15</c:f>
              <c:strCache>
                <c:ptCount val="1"/>
                <c:pt idx="0">
                  <c:v>105</c:v>
                </c:pt>
              </c:strCache>
            </c:strRef>
          </c:tx>
          <c:cat>
            <c:numRef>
              <c:f>'plots MC'!$G$4:$Q$4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'plots MC'!$G$15:$Q$15</c:f>
              <c:numCache>
                <c:formatCode>0.000</c:formatCode>
                <c:ptCount val="11"/>
              </c:numCache>
            </c:numRef>
          </c:val>
        </c:ser>
        <c:bandFmts/>
        <c:axId val="349256704"/>
        <c:axId val="349291264"/>
        <c:axId val="349250880"/>
      </c:surface3DChart>
      <c:catAx>
        <c:axId val="349256704"/>
        <c:scaling>
          <c:orientation val="minMax"/>
        </c:scaling>
        <c:axPos val="b"/>
        <c:numFmt formatCode="General" sourceLinked="1"/>
        <c:tickLblPos val="nextTo"/>
        <c:crossAx val="349291264"/>
        <c:crosses val="autoZero"/>
        <c:auto val="1"/>
        <c:lblAlgn val="ctr"/>
        <c:lblOffset val="100"/>
      </c:catAx>
      <c:valAx>
        <c:axId val="349291264"/>
        <c:scaling>
          <c:orientation val="minMax"/>
        </c:scaling>
        <c:axPos val="r"/>
        <c:majorGridlines/>
        <c:numFmt formatCode="0.000" sourceLinked="1"/>
        <c:tickLblPos val="nextTo"/>
        <c:crossAx val="349256704"/>
        <c:crosses val="autoZero"/>
        <c:crossBetween val="midCat"/>
      </c:valAx>
      <c:serAx>
        <c:axId val="349250880"/>
        <c:scaling>
          <c:orientation val="minMax"/>
        </c:scaling>
        <c:axPos val="b"/>
        <c:tickLblPos val="nextTo"/>
        <c:crossAx val="349291264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view3D>
      <c:rotX val="25"/>
      <c:rotY val="230"/>
      <c:perspective val="0"/>
    </c:view3D>
    <c:plotArea>
      <c:layout/>
      <c:surface3DChart>
        <c:wireframe val="1"/>
        <c:ser>
          <c:idx val="0"/>
          <c:order val="0"/>
          <c:tx>
            <c:strRef>
              <c:f>'plots MC'!$F$20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MC'!$G$20:$Q$20</c:f>
              <c:numCache>
                <c:formatCode>General</c:formatCode>
                <c:ptCount val="11"/>
              </c:numCache>
            </c:numRef>
          </c:val>
        </c:ser>
        <c:ser>
          <c:idx val="1"/>
          <c:order val="1"/>
          <c:tx>
            <c:strRef>
              <c:f>'plots MC'!$F$21</c:f>
              <c:strCache>
                <c:ptCount val="1"/>
                <c:pt idx="0">
                  <c:v>92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MC'!$G$21:$Q$21</c:f>
              <c:numCache>
                <c:formatCode>General</c:formatCode>
                <c:ptCount val="11"/>
              </c:numCache>
            </c:numRef>
          </c:val>
        </c:ser>
        <c:ser>
          <c:idx val="2"/>
          <c:order val="2"/>
          <c:tx>
            <c:strRef>
              <c:f>'plots MC'!$F$22</c:f>
              <c:strCache>
                <c:ptCount val="1"/>
                <c:pt idx="0">
                  <c:v>94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MC'!$G$22:$Q$22</c:f>
              <c:numCache>
                <c:formatCode>General</c:formatCode>
                <c:ptCount val="11"/>
              </c:numCache>
            </c:numRef>
          </c:val>
        </c:ser>
        <c:ser>
          <c:idx val="3"/>
          <c:order val="3"/>
          <c:tx>
            <c:strRef>
              <c:f>'plots MC'!$F$23</c:f>
              <c:strCache>
                <c:ptCount val="1"/>
                <c:pt idx="0">
                  <c:v>96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MC'!$G$23:$Q$23</c:f>
              <c:numCache>
                <c:formatCode>General</c:formatCode>
                <c:ptCount val="11"/>
              </c:numCache>
            </c:numRef>
          </c:val>
        </c:ser>
        <c:ser>
          <c:idx val="4"/>
          <c:order val="4"/>
          <c:tx>
            <c:strRef>
              <c:f>'plots MC'!$F$24</c:f>
              <c:strCache>
                <c:ptCount val="1"/>
                <c:pt idx="0">
                  <c:v>98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MC'!$G$24:$Q$24</c:f>
              <c:numCache>
                <c:formatCode>General</c:formatCode>
                <c:ptCount val="11"/>
              </c:numCache>
            </c:numRef>
          </c:val>
        </c:ser>
        <c:ser>
          <c:idx val="5"/>
          <c:order val="5"/>
          <c:tx>
            <c:strRef>
              <c:f>'plots MC'!$F$25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MC'!$G$25:$Q$25</c:f>
              <c:numCache>
                <c:formatCode>General</c:formatCode>
                <c:ptCount val="11"/>
              </c:numCache>
            </c:numRef>
          </c:val>
        </c:ser>
        <c:ser>
          <c:idx val="6"/>
          <c:order val="6"/>
          <c:tx>
            <c:strRef>
              <c:f>'plots MC'!$F$26</c:f>
              <c:strCache>
                <c:ptCount val="1"/>
                <c:pt idx="0">
                  <c:v>102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MC'!$G$26:$Q$26</c:f>
              <c:numCache>
                <c:formatCode>General</c:formatCode>
                <c:ptCount val="11"/>
              </c:numCache>
            </c:numRef>
          </c:val>
        </c:ser>
        <c:ser>
          <c:idx val="7"/>
          <c:order val="7"/>
          <c:tx>
            <c:strRef>
              <c:f>'plots MC'!$F$27</c:f>
              <c:strCache>
                <c:ptCount val="1"/>
                <c:pt idx="0">
                  <c:v>104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MC'!$G$27:$Q$27</c:f>
              <c:numCache>
                <c:formatCode>General</c:formatCode>
                <c:ptCount val="11"/>
              </c:numCache>
            </c:numRef>
          </c:val>
        </c:ser>
        <c:ser>
          <c:idx val="8"/>
          <c:order val="8"/>
          <c:tx>
            <c:strRef>
              <c:f>'plots MC'!$F$28</c:f>
              <c:strCache>
                <c:ptCount val="1"/>
                <c:pt idx="0">
                  <c:v>106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MC'!$G$28:$Q$28</c:f>
              <c:numCache>
                <c:formatCode>General</c:formatCode>
                <c:ptCount val="11"/>
              </c:numCache>
            </c:numRef>
          </c:val>
        </c:ser>
        <c:ser>
          <c:idx val="9"/>
          <c:order val="9"/>
          <c:tx>
            <c:strRef>
              <c:f>'plots MC'!$F$29</c:f>
              <c:strCache>
                <c:ptCount val="1"/>
                <c:pt idx="0">
                  <c:v>108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MC'!$G$29:$Q$29</c:f>
              <c:numCache>
                <c:formatCode>General</c:formatCode>
                <c:ptCount val="11"/>
              </c:numCache>
            </c:numRef>
          </c:val>
        </c:ser>
        <c:ser>
          <c:idx val="10"/>
          <c:order val="10"/>
          <c:tx>
            <c:strRef>
              <c:f>'plots MC'!$F$30</c:f>
              <c:strCache>
                <c:ptCount val="1"/>
                <c:pt idx="0">
                  <c:v>110</c:v>
                </c:pt>
              </c:strCache>
            </c:strRef>
          </c:tx>
          <c:cat>
            <c:numRef>
              <c:f>'plots MC'!$G$19:$Q$19</c:f>
              <c:numCache>
                <c:formatCode>General</c:formatCode>
                <c:ptCount val="1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</c:numCache>
            </c:numRef>
          </c:cat>
          <c:val>
            <c:numRef>
              <c:f>'plots MC'!$G$30:$Q$30</c:f>
              <c:numCache>
                <c:formatCode>General</c:formatCode>
                <c:ptCount val="11"/>
              </c:numCache>
            </c:numRef>
          </c:val>
        </c:ser>
        <c:bandFmts/>
        <c:axId val="350733824"/>
        <c:axId val="350735360"/>
        <c:axId val="349289984"/>
      </c:surface3DChart>
      <c:catAx>
        <c:axId val="350733824"/>
        <c:scaling>
          <c:orientation val="minMax"/>
        </c:scaling>
        <c:axPos val="b"/>
        <c:numFmt formatCode="General" sourceLinked="1"/>
        <c:tickLblPos val="nextTo"/>
        <c:crossAx val="350735360"/>
        <c:crosses val="autoZero"/>
        <c:auto val="1"/>
        <c:lblAlgn val="ctr"/>
        <c:lblOffset val="100"/>
      </c:catAx>
      <c:valAx>
        <c:axId val="350735360"/>
        <c:scaling>
          <c:orientation val="minMax"/>
        </c:scaling>
        <c:axPos val="r"/>
        <c:majorGridlines/>
        <c:numFmt formatCode="General" sourceLinked="1"/>
        <c:tickLblPos val="nextTo"/>
        <c:crossAx val="350733824"/>
        <c:crosses val="autoZero"/>
        <c:crossBetween val="midCat"/>
      </c:valAx>
      <c:serAx>
        <c:axId val="349289984"/>
        <c:scaling>
          <c:orientation val="minMax"/>
        </c:scaling>
        <c:axPos val="b"/>
        <c:tickLblPos val="nextTo"/>
        <c:crossAx val="350735360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pl-PL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</xdr:row>
      <xdr:rowOff>47625</xdr:rowOff>
    </xdr:from>
    <xdr:to>
      <xdr:col>21</xdr:col>
      <xdr:colOff>190500</xdr:colOff>
      <xdr:row>16</xdr:row>
      <xdr:rowOff>76200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657224</xdr:colOff>
      <xdr:row>2</xdr:row>
      <xdr:rowOff>66675</xdr:rowOff>
    </xdr:from>
    <xdr:to>
      <xdr:col>25</xdr:col>
      <xdr:colOff>219075</xdr:colOff>
      <xdr:row>16</xdr:row>
      <xdr:rowOff>152401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18</xdr:row>
      <xdr:rowOff>95250</xdr:rowOff>
    </xdr:from>
    <xdr:to>
      <xdr:col>25</xdr:col>
      <xdr:colOff>285751</xdr:colOff>
      <xdr:row>33</xdr:row>
      <xdr:rowOff>1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657224</xdr:colOff>
      <xdr:row>2</xdr:row>
      <xdr:rowOff>66675</xdr:rowOff>
    </xdr:from>
    <xdr:to>
      <xdr:col>25</xdr:col>
      <xdr:colOff>219075</xdr:colOff>
      <xdr:row>16</xdr:row>
      <xdr:rowOff>152401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18</xdr:row>
      <xdr:rowOff>95250</xdr:rowOff>
    </xdr:from>
    <xdr:to>
      <xdr:col>25</xdr:col>
      <xdr:colOff>285751</xdr:colOff>
      <xdr:row>33</xdr:row>
      <xdr:rowOff>1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3"/>
  <dimension ref="A2:F106"/>
  <sheetViews>
    <sheetView tabSelected="1" workbookViewId="0">
      <selection activeCell="A4" sqref="A4"/>
    </sheetView>
  </sheetViews>
  <sheetFormatPr defaultRowHeight="14.25"/>
  <cols>
    <col min="3" max="3" width="10.125" customWidth="1"/>
    <col min="4" max="4" width="9.25" customWidth="1"/>
    <col min="6" max="6" width="12" customWidth="1"/>
  </cols>
  <sheetData>
    <row r="2" spans="1:6">
      <c r="A2" s="10" t="s">
        <v>6</v>
      </c>
      <c r="B2" s="13"/>
      <c r="C2" s="13"/>
      <c r="D2" s="13"/>
      <c r="E2" s="13"/>
      <c r="F2" s="14"/>
    </row>
    <row r="4" spans="1:6" ht="51">
      <c r="C4" s="23" t="s">
        <v>7</v>
      </c>
      <c r="D4" s="23" t="s">
        <v>8</v>
      </c>
    </row>
    <row r="5" spans="1:6">
      <c r="B5">
        <v>1</v>
      </c>
      <c r="C5" s="17"/>
      <c r="D5" s="17"/>
    </row>
    <row r="6" spans="1:6">
      <c r="B6">
        <v>2</v>
      </c>
      <c r="C6" s="17"/>
      <c r="D6" s="17"/>
    </row>
    <row r="7" spans="1:6">
      <c r="B7">
        <v>3</v>
      </c>
      <c r="C7" s="17"/>
      <c r="D7" s="17"/>
    </row>
    <row r="8" spans="1:6">
      <c r="B8">
        <v>4</v>
      </c>
      <c r="C8" s="17"/>
      <c r="D8" s="17"/>
    </row>
    <row r="9" spans="1:6">
      <c r="B9">
        <v>5</v>
      </c>
      <c r="C9" s="17"/>
      <c r="D9" s="17"/>
    </row>
    <row r="10" spans="1:6">
      <c r="B10">
        <v>6</v>
      </c>
      <c r="C10" s="17"/>
      <c r="D10" s="17"/>
    </row>
    <row r="11" spans="1:6">
      <c r="B11">
        <v>7</v>
      </c>
      <c r="C11" s="17"/>
      <c r="D11" s="17"/>
    </row>
    <row r="12" spans="1:6">
      <c r="B12">
        <v>8</v>
      </c>
      <c r="C12" s="17"/>
      <c r="D12" s="17"/>
    </row>
    <row r="13" spans="1:6">
      <c r="B13">
        <v>9</v>
      </c>
      <c r="C13" s="17"/>
      <c r="D13" s="17"/>
    </row>
    <row r="14" spans="1:6">
      <c r="B14">
        <v>10</v>
      </c>
      <c r="C14" s="17"/>
      <c r="D14" s="17"/>
    </row>
    <row r="15" spans="1:6">
      <c r="B15">
        <v>11</v>
      </c>
      <c r="C15" s="17"/>
      <c r="D15" s="17"/>
    </row>
    <row r="16" spans="1:6">
      <c r="B16">
        <v>12</v>
      </c>
      <c r="C16" s="17"/>
      <c r="D16" s="17"/>
    </row>
    <row r="17" spans="2:4">
      <c r="B17">
        <v>13</v>
      </c>
      <c r="C17" s="17"/>
      <c r="D17" s="17"/>
    </row>
    <row r="18" spans="2:4">
      <c r="B18">
        <v>14</v>
      </c>
      <c r="C18" s="17"/>
      <c r="D18" s="17"/>
    </row>
    <row r="19" spans="2:4">
      <c r="B19">
        <v>15</v>
      </c>
      <c r="C19" s="17"/>
      <c r="D19" s="17"/>
    </row>
    <row r="20" spans="2:4">
      <c r="B20">
        <v>16</v>
      </c>
      <c r="C20" s="17"/>
      <c r="D20" s="17"/>
    </row>
    <row r="21" spans="2:4">
      <c r="B21">
        <v>17</v>
      </c>
      <c r="C21" s="17"/>
      <c r="D21" s="17"/>
    </row>
    <row r="22" spans="2:4">
      <c r="B22">
        <v>18</v>
      </c>
      <c r="C22" s="17"/>
      <c r="D22" s="17"/>
    </row>
    <row r="23" spans="2:4">
      <c r="B23">
        <v>19</v>
      </c>
      <c r="C23" s="17"/>
      <c r="D23" s="17"/>
    </row>
    <row r="24" spans="2:4">
      <c r="B24">
        <v>20</v>
      </c>
      <c r="C24" s="17"/>
      <c r="D24" s="17"/>
    </row>
    <row r="25" spans="2:4">
      <c r="B25">
        <v>21</v>
      </c>
      <c r="C25" s="17"/>
      <c r="D25" s="17"/>
    </row>
    <row r="26" spans="2:4">
      <c r="B26">
        <v>22</v>
      </c>
      <c r="C26" s="17"/>
      <c r="D26" s="17"/>
    </row>
    <row r="27" spans="2:4">
      <c r="B27">
        <v>23</v>
      </c>
      <c r="C27" s="17"/>
      <c r="D27" s="17"/>
    </row>
    <row r="28" spans="2:4">
      <c r="B28">
        <v>24</v>
      </c>
      <c r="C28" s="17"/>
      <c r="D28" s="17"/>
    </row>
    <row r="29" spans="2:4">
      <c r="B29">
        <v>25</v>
      </c>
      <c r="C29" s="17"/>
      <c r="D29" s="17"/>
    </row>
    <row r="30" spans="2:4">
      <c r="B30">
        <v>26</v>
      </c>
      <c r="C30" s="17"/>
      <c r="D30" s="17"/>
    </row>
    <row r="31" spans="2:4">
      <c r="B31">
        <v>27</v>
      </c>
      <c r="C31" s="17"/>
      <c r="D31" s="17"/>
    </row>
    <row r="32" spans="2:4">
      <c r="B32">
        <v>28</v>
      </c>
      <c r="C32" s="17"/>
      <c r="D32" s="17"/>
    </row>
    <row r="33" spans="2:4">
      <c r="B33">
        <v>29</v>
      </c>
      <c r="C33" s="17"/>
      <c r="D33" s="17"/>
    </row>
    <row r="34" spans="2:4">
      <c r="B34">
        <v>30</v>
      </c>
      <c r="C34" s="17"/>
      <c r="D34" s="17"/>
    </row>
    <row r="35" spans="2:4">
      <c r="B35">
        <v>31</v>
      </c>
      <c r="C35" s="17"/>
      <c r="D35" s="17"/>
    </row>
    <row r="36" spans="2:4">
      <c r="B36">
        <v>32</v>
      </c>
      <c r="C36" s="17"/>
      <c r="D36" s="17"/>
    </row>
    <row r="37" spans="2:4">
      <c r="B37">
        <v>33</v>
      </c>
      <c r="C37" s="17"/>
      <c r="D37" s="17"/>
    </row>
    <row r="38" spans="2:4">
      <c r="B38">
        <v>34</v>
      </c>
      <c r="C38" s="17"/>
      <c r="D38" s="17"/>
    </row>
    <row r="39" spans="2:4">
      <c r="B39">
        <v>35</v>
      </c>
      <c r="C39" s="17"/>
      <c r="D39" s="17"/>
    </row>
    <row r="40" spans="2:4">
      <c r="B40">
        <v>36</v>
      </c>
      <c r="C40" s="17"/>
      <c r="D40" s="17"/>
    </row>
    <row r="41" spans="2:4">
      <c r="B41">
        <v>37</v>
      </c>
      <c r="C41" s="17"/>
      <c r="D41" s="17"/>
    </row>
    <row r="42" spans="2:4">
      <c r="B42">
        <v>38</v>
      </c>
      <c r="C42" s="17"/>
      <c r="D42" s="17"/>
    </row>
    <row r="43" spans="2:4">
      <c r="B43">
        <v>39</v>
      </c>
      <c r="C43" s="17"/>
      <c r="D43" s="17"/>
    </row>
    <row r="44" spans="2:4">
      <c r="B44">
        <v>40</v>
      </c>
      <c r="C44" s="17"/>
      <c r="D44" s="17"/>
    </row>
    <row r="45" spans="2:4">
      <c r="B45">
        <v>41</v>
      </c>
      <c r="C45" s="17"/>
      <c r="D45" s="17"/>
    </row>
    <row r="46" spans="2:4">
      <c r="B46">
        <v>42</v>
      </c>
      <c r="C46" s="17"/>
      <c r="D46" s="17"/>
    </row>
    <row r="47" spans="2:4">
      <c r="B47">
        <v>43</v>
      </c>
      <c r="C47" s="17"/>
      <c r="D47" s="17"/>
    </row>
    <row r="48" spans="2:4">
      <c r="B48">
        <v>44</v>
      </c>
      <c r="C48" s="17"/>
      <c r="D48" s="17"/>
    </row>
    <row r="49" spans="2:4">
      <c r="B49">
        <v>45</v>
      </c>
      <c r="C49" s="17"/>
      <c r="D49" s="17"/>
    </row>
    <row r="50" spans="2:4">
      <c r="B50">
        <v>46</v>
      </c>
      <c r="C50" s="17"/>
      <c r="D50" s="17"/>
    </row>
    <row r="51" spans="2:4">
      <c r="B51">
        <v>47</v>
      </c>
      <c r="C51" s="17"/>
      <c r="D51" s="17"/>
    </row>
    <row r="52" spans="2:4">
      <c r="B52">
        <v>48</v>
      </c>
      <c r="C52" s="17"/>
      <c r="D52" s="17"/>
    </row>
    <row r="53" spans="2:4">
      <c r="B53">
        <v>49</v>
      </c>
      <c r="C53" s="17"/>
      <c r="D53" s="17"/>
    </row>
    <row r="54" spans="2:4">
      <c r="B54">
        <v>50</v>
      </c>
      <c r="C54" s="17"/>
      <c r="D54" s="17"/>
    </row>
    <row r="55" spans="2:4">
      <c r="B55">
        <v>51</v>
      </c>
      <c r="C55" s="17"/>
      <c r="D55" s="17"/>
    </row>
    <row r="56" spans="2:4">
      <c r="B56">
        <v>52</v>
      </c>
      <c r="C56" s="17"/>
      <c r="D56" s="17"/>
    </row>
    <row r="57" spans="2:4">
      <c r="B57">
        <v>53</v>
      </c>
      <c r="C57" s="17"/>
      <c r="D57" s="17"/>
    </row>
    <row r="58" spans="2:4">
      <c r="B58">
        <v>54</v>
      </c>
      <c r="C58" s="17"/>
      <c r="D58" s="17"/>
    </row>
    <row r="59" spans="2:4">
      <c r="B59">
        <v>55</v>
      </c>
      <c r="C59" s="17"/>
      <c r="D59" s="17"/>
    </row>
    <row r="60" spans="2:4">
      <c r="B60">
        <v>56</v>
      </c>
      <c r="C60" s="17"/>
      <c r="D60" s="17"/>
    </row>
    <row r="61" spans="2:4">
      <c r="B61">
        <v>57</v>
      </c>
      <c r="C61" s="17"/>
      <c r="D61" s="17"/>
    </row>
    <row r="62" spans="2:4">
      <c r="B62">
        <v>58</v>
      </c>
      <c r="C62" s="17"/>
      <c r="D62" s="17"/>
    </row>
    <row r="63" spans="2:4">
      <c r="B63">
        <v>59</v>
      </c>
      <c r="C63" s="17"/>
      <c r="D63" s="17"/>
    </row>
    <row r="64" spans="2:4">
      <c r="B64">
        <v>60</v>
      </c>
      <c r="C64" s="17"/>
      <c r="D64" s="17"/>
    </row>
    <row r="65" spans="2:4">
      <c r="B65">
        <v>61</v>
      </c>
      <c r="C65" s="17"/>
      <c r="D65" s="17"/>
    </row>
    <row r="66" spans="2:4">
      <c r="B66">
        <v>62</v>
      </c>
      <c r="C66" s="17"/>
      <c r="D66" s="17"/>
    </row>
    <row r="67" spans="2:4">
      <c r="B67">
        <v>63</v>
      </c>
      <c r="C67" s="17"/>
      <c r="D67" s="17"/>
    </row>
    <row r="68" spans="2:4">
      <c r="B68">
        <v>64</v>
      </c>
      <c r="C68" s="17"/>
      <c r="D68" s="17"/>
    </row>
    <row r="69" spans="2:4">
      <c r="B69">
        <v>65</v>
      </c>
      <c r="C69" s="17"/>
      <c r="D69" s="17"/>
    </row>
    <row r="70" spans="2:4">
      <c r="B70">
        <v>66</v>
      </c>
      <c r="C70" s="17"/>
      <c r="D70" s="17"/>
    </row>
    <row r="71" spans="2:4">
      <c r="B71">
        <v>67</v>
      </c>
      <c r="C71" s="17"/>
      <c r="D71" s="17"/>
    </row>
    <row r="72" spans="2:4">
      <c r="B72">
        <v>68</v>
      </c>
      <c r="C72" s="17"/>
      <c r="D72" s="17"/>
    </row>
    <row r="73" spans="2:4">
      <c r="B73">
        <v>69</v>
      </c>
      <c r="C73" s="17"/>
      <c r="D73" s="17"/>
    </row>
    <row r="74" spans="2:4">
      <c r="B74">
        <v>70</v>
      </c>
      <c r="C74" s="17"/>
      <c r="D74" s="17"/>
    </row>
    <row r="75" spans="2:4">
      <c r="B75">
        <v>71</v>
      </c>
      <c r="C75" s="17"/>
      <c r="D75" s="17"/>
    </row>
    <row r="76" spans="2:4">
      <c r="B76">
        <v>72</v>
      </c>
      <c r="C76" s="17"/>
      <c r="D76" s="17"/>
    </row>
    <row r="77" spans="2:4">
      <c r="B77">
        <v>73</v>
      </c>
      <c r="C77" s="17"/>
      <c r="D77" s="17"/>
    </row>
    <row r="78" spans="2:4">
      <c r="B78">
        <v>74</v>
      </c>
      <c r="C78" s="17"/>
      <c r="D78" s="17"/>
    </row>
    <row r="79" spans="2:4">
      <c r="B79">
        <v>75</v>
      </c>
      <c r="C79" s="17"/>
      <c r="D79" s="17"/>
    </row>
    <row r="80" spans="2:4">
      <c r="B80">
        <v>76</v>
      </c>
      <c r="C80" s="17"/>
      <c r="D80" s="17"/>
    </row>
    <row r="81" spans="2:4">
      <c r="B81">
        <v>77</v>
      </c>
      <c r="C81" s="17"/>
      <c r="D81" s="17"/>
    </row>
    <row r="82" spans="2:4">
      <c r="B82">
        <v>78</v>
      </c>
      <c r="C82" s="17"/>
      <c r="D82" s="17"/>
    </row>
    <row r="83" spans="2:4">
      <c r="B83">
        <v>79</v>
      </c>
      <c r="C83" s="17"/>
      <c r="D83" s="17"/>
    </row>
    <row r="84" spans="2:4">
      <c r="B84">
        <v>80</v>
      </c>
      <c r="C84" s="17"/>
      <c r="D84" s="17"/>
    </row>
    <row r="85" spans="2:4">
      <c r="B85">
        <v>81</v>
      </c>
      <c r="C85" s="17"/>
      <c r="D85" s="17"/>
    </row>
    <row r="86" spans="2:4">
      <c r="B86">
        <v>82</v>
      </c>
      <c r="C86" s="17"/>
      <c r="D86" s="17"/>
    </row>
    <row r="87" spans="2:4">
      <c r="B87">
        <v>83</v>
      </c>
      <c r="C87" s="17"/>
      <c r="D87" s="17"/>
    </row>
    <row r="88" spans="2:4">
      <c r="B88">
        <v>84</v>
      </c>
      <c r="C88" s="17"/>
      <c r="D88" s="17"/>
    </row>
    <row r="89" spans="2:4">
      <c r="B89">
        <v>85</v>
      </c>
      <c r="C89" s="17"/>
      <c r="D89" s="17"/>
    </row>
    <row r="90" spans="2:4">
      <c r="B90">
        <v>86</v>
      </c>
      <c r="C90" s="17"/>
      <c r="D90" s="17"/>
    </row>
    <row r="91" spans="2:4">
      <c r="B91">
        <v>87</v>
      </c>
      <c r="C91" s="17"/>
      <c r="D91" s="17"/>
    </row>
    <row r="92" spans="2:4">
      <c r="B92">
        <v>88</v>
      </c>
      <c r="C92" s="17"/>
      <c r="D92" s="17"/>
    </row>
    <row r="93" spans="2:4">
      <c r="B93">
        <v>89</v>
      </c>
      <c r="C93" s="17"/>
      <c r="D93" s="17"/>
    </row>
    <row r="94" spans="2:4">
      <c r="B94">
        <v>90</v>
      </c>
      <c r="C94" s="17"/>
      <c r="D94" s="17"/>
    </row>
    <row r="95" spans="2:4">
      <c r="B95">
        <v>91</v>
      </c>
      <c r="C95" s="17"/>
      <c r="D95" s="17"/>
    </row>
    <row r="96" spans="2:4">
      <c r="B96">
        <v>92</v>
      </c>
      <c r="C96" s="17"/>
      <c r="D96" s="17"/>
    </row>
    <row r="97" spans="2:4">
      <c r="B97">
        <v>93</v>
      </c>
      <c r="C97" s="17"/>
      <c r="D97" s="17"/>
    </row>
    <row r="98" spans="2:4">
      <c r="B98">
        <v>94</v>
      </c>
      <c r="C98" s="17"/>
      <c r="D98" s="17"/>
    </row>
    <row r="99" spans="2:4">
      <c r="B99">
        <v>95</v>
      </c>
      <c r="C99" s="17"/>
      <c r="D99" s="17"/>
    </row>
    <row r="100" spans="2:4">
      <c r="B100">
        <v>96</v>
      </c>
      <c r="C100" s="17"/>
      <c r="D100" s="17"/>
    </row>
    <row r="101" spans="2:4">
      <c r="B101">
        <v>97</v>
      </c>
      <c r="C101" s="17"/>
      <c r="D101" s="17"/>
    </row>
    <row r="102" spans="2:4">
      <c r="B102">
        <v>98</v>
      </c>
      <c r="C102" s="17"/>
      <c r="D102" s="17"/>
    </row>
    <row r="103" spans="2:4">
      <c r="B103">
        <v>99</v>
      </c>
      <c r="C103" s="17"/>
      <c r="D103" s="17"/>
    </row>
    <row r="104" spans="2:4">
      <c r="B104">
        <v>100</v>
      </c>
      <c r="C104" s="17"/>
      <c r="D104" s="17"/>
    </row>
    <row r="105" spans="2:4">
      <c r="B105" s="24" t="s">
        <v>9</v>
      </c>
      <c r="C105" s="25" t="e">
        <f>AVERAGE(C5:C104)</f>
        <v>#DIV/0!</v>
      </c>
      <c r="D105" s="25" t="e">
        <f>AVERAGE(D5:D104)</f>
        <v>#DIV/0!</v>
      </c>
    </row>
    <row r="106" spans="2:4">
      <c r="B106" s="24" t="s">
        <v>10</v>
      </c>
      <c r="C106" s="26" t="e">
        <f>STDEV(C5:C104)</f>
        <v>#DIV/0!</v>
      </c>
      <c r="D106" s="26" t="e">
        <f>STDEV(D5:D104)</f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A1:F17"/>
  <sheetViews>
    <sheetView workbookViewId="0">
      <selection activeCell="E2" sqref="E2:F17"/>
    </sheetView>
  </sheetViews>
  <sheetFormatPr defaultRowHeight="14.25"/>
  <cols>
    <col min="1" max="1" width="14.25" bestFit="1" customWidth="1"/>
    <col min="2" max="2" width="4.875" bestFit="1" customWidth="1"/>
    <col min="4" max="4" width="14.25" bestFit="1" customWidth="1"/>
    <col min="6" max="6" width="13.5" customWidth="1"/>
  </cols>
  <sheetData>
    <row r="1" spans="1:6">
      <c r="A1" s="31" t="s">
        <v>23</v>
      </c>
      <c r="B1" s="32">
        <v>95</v>
      </c>
      <c r="D1" s="33" t="s">
        <v>26</v>
      </c>
      <c r="E1" s="33" t="s">
        <v>27</v>
      </c>
      <c r="F1" s="33" t="s">
        <v>31</v>
      </c>
    </row>
    <row r="2" spans="1:6">
      <c r="A2" s="31" t="s">
        <v>22</v>
      </c>
      <c r="B2" s="32">
        <v>100</v>
      </c>
      <c r="D2" s="32">
        <v>100</v>
      </c>
      <c r="E2" s="32"/>
      <c r="F2" s="32"/>
    </row>
    <row r="3" spans="1:6">
      <c r="A3" s="31" t="s">
        <v>28</v>
      </c>
      <c r="B3" s="32">
        <v>0.06</v>
      </c>
      <c r="D3" s="32">
        <v>200</v>
      </c>
      <c r="E3" s="32"/>
      <c r="F3" s="32"/>
    </row>
    <row r="4" spans="1:6">
      <c r="A4" s="31" t="s">
        <v>29</v>
      </c>
      <c r="B4" s="32">
        <v>0</v>
      </c>
      <c r="D4" s="32">
        <v>300</v>
      </c>
      <c r="E4" s="32"/>
      <c r="F4" s="32"/>
    </row>
    <row r="5" spans="1:6">
      <c r="A5" s="31" t="s">
        <v>24</v>
      </c>
      <c r="B5" s="32">
        <v>0.5</v>
      </c>
      <c r="D5" s="32">
        <v>400</v>
      </c>
      <c r="E5" s="32"/>
      <c r="F5" s="32"/>
    </row>
    <row r="6" spans="1:6">
      <c r="A6" s="31" t="s">
        <v>30</v>
      </c>
      <c r="B6" s="32">
        <v>0.2</v>
      </c>
      <c r="D6" s="32">
        <v>500</v>
      </c>
      <c r="E6" s="32"/>
      <c r="F6" s="32"/>
    </row>
    <row r="7" spans="1:6">
      <c r="D7" s="32">
        <v>600</v>
      </c>
      <c r="E7" s="32"/>
      <c r="F7" s="32"/>
    </row>
    <row r="8" spans="1:6">
      <c r="D8" s="32">
        <v>700</v>
      </c>
      <c r="E8" s="32"/>
      <c r="F8" s="32"/>
    </row>
    <row r="9" spans="1:6">
      <c r="D9" s="32">
        <v>800</v>
      </c>
      <c r="E9" s="32"/>
      <c r="F9" s="32"/>
    </row>
    <row r="10" spans="1:6">
      <c r="D10" s="32">
        <v>900</v>
      </c>
      <c r="E10" s="32"/>
      <c r="F10" s="32"/>
    </row>
    <row r="11" spans="1:6">
      <c r="D11" s="32">
        <v>1000</v>
      </c>
      <c r="E11" s="32"/>
      <c r="F11" s="32"/>
    </row>
    <row r="12" spans="1:6">
      <c r="D12" s="32">
        <v>1200</v>
      </c>
      <c r="E12" s="32"/>
      <c r="F12" s="32"/>
    </row>
    <row r="13" spans="1:6">
      <c r="D13" s="32">
        <v>1400</v>
      </c>
      <c r="E13" s="32"/>
      <c r="F13" s="32"/>
    </row>
    <row r="14" spans="1:6">
      <c r="D14" s="32">
        <v>1600</v>
      </c>
      <c r="E14" s="32"/>
      <c r="F14" s="32"/>
    </row>
    <row r="15" spans="1:6">
      <c r="D15" s="32">
        <v>2000</v>
      </c>
      <c r="E15" s="32"/>
      <c r="F15" s="32"/>
    </row>
    <row r="16" spans="1:6">
      <c r="D16" s="32">
        <v>5000</v>
      </c>
      <c r="E16" s="32"/>
      <c r="F16" s="32"/>
    </row>
    <row r="17" spans="4:6">
      <c r="D17" s="32">
        <v>10000</v>
      </c>
      <c r="E17" s="32"/>
      <c r="F17" s="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7"/>
  <dimension ref="A1:G56"/>
  <sheetViews>
    <sheetView workbookViewId="0">
      <selection activeCell="A11" sqref="A11"/>
    </sheetView>
  </sheetViews>
  <sheetFormatPr defaultRowHeight="12.75"/>
  <cols>
    <col min="1" max="1" width="62.125" style="9" bestFit="1" customWidth="1"/>
    <col min="2" max="2" width="9" style="9"/>
    <col min="3" max="3" width="5.75" style="9" customWidth="1"/>
    <col min="4" max="4" width="5.375" style="9" customWidth="1"/>
    <col min="5" max="5" width="20.5" style="9" bestFit="1" customWidth="1"/>
    <col min="6" max="6" width="20.25" style="9" bestFit="1" customWidth="1"/>
    <col min="7" max="7" width="16.875" style="9" bestFit="1" customWidth="1"/>
    <col min="8" max="16384" width="9" style="9"/>
  </cols>
  <sheetData>
    <row r="1" spans="1:6">
      <c r="A1" s="1"/>
      <c r="B1" s="2"/>
      <c r="C1" s="2"/>
      <c r="D1" s="2"/>
      <c r="E1" s="2"/>
    </row>
    <row r="2" spans="1:6">
      <c r="A2" s="10" t="s">
        <v>33</v>
      </c>
      <c r="B2" s="11"/>
      <c r="C2" s="11"/>
      <c r="D2" s="11"/>
      <c r="E2" s="11"/>
      <c r="F2" s="22"/>
    </row>
    <row r="4" spans="1:6">
      <c r="A4" s="3" t="s">
        <v>16</v>
      </c>
      <c r="B4" s="4">
        <v>95</v>
      </c>
      <c r="C4" s="2"/>
      <c r="E4" s="18" t="s">
        <v>32</v>
      </c>
      <c r="F4" s="18" t="s">
        <v>25</v>
      </c>
    </row>
    <row r="5" spans="1:6">
      <c r="A5" s="2" t="s">
        <v>15</v>
      </c>
      <c r="B5" s="4">
        <v>100</v>
      </c>
      <c r="C5" s="2"/>
      <c r="D5" s="9">
        <v>1</v>
      </c>
      <c r="E5" s="17"/>
      <c r="F5" s="17"/>
    </row>
    <row r="6" spans="1:6">
      <c r="A6" s="3" t="s">
        <v>14</v>
      </c>
      <c r="B6" s="6">
        <v>0.06</v>
      </c>
      <c r="C6" s="2"/>
      <c r="D6" s="2">
        <v>2</v>
      </c>
      <c r="E6" s="17"/>
      <c r="F6" s="17"/>
    </row>
    <row r="7" spans="1:6">
      <c r="A7" s="3" t="s">
        <v>17</v>
      </c>
      <c r="B7" s="6">
        <v>0</v>
      </c>
      <c r="C7" s="2"/>
      <c r="D7" s="9">
        <v>3</v>
      </c>
      <c r="E7" s="17"/>
      <c r="F7" s="17"/>
    </row>
    <row r="8" spans="1:6">
      <c r="A8" s="3" t="s">
        <v>18</v>
      </c>
      <c r="B8" s="8">
        <v>0.5</v>
      </c>
      <c r="C8" s="2"/>
      <c r="D8" s="2">
        <v>4</v>
      </c>
      <c r="E8" s="17"/>
      <c r="F8" s="17"/>
    </row>
    <row r="9" spans="1:6">
      <c r="A9" s="20"/>
      <c r="B9" s="21"/>
      <c r="C9" s="2"/>
      <c r="D9" s="9">
        <v>5</v>
      </c>
      <c r="E9" s="17"/>
      <c r="F9" s="17"/>
    </row>
    <row r="10" spans="1:6">
      <c r="A10" s="3" t="s">
        <v>19</v>
      </c>
      <c r="B10" s="6">
        <v>0.2</v>
      </c>
      <c r="C10" s="2"/>
      <c r="D10" s="2">
        <v>6</v>
      </c>
      <c r="E10" s="17"/>
      <c r="F10" s="17"/>
    </row>
    <row r="11" spans="1:6">
      <c r="C11" s="2"/>
      <c r="D11" s="9">
        <v>7</v>
      </c>
      <c r="E11" s="17"/>
      <c r="F11" s="17"/>
    </row>
    <row r="12" spans="1:6">
      <c r="A12" s="3" t="s">
        <v>20</v>
      </c>
      <c r="B12" s="19">
        <v>1000</v>
      </c>
      <c r="C12" s="2"/>
      <c r="D12" s="2">
        <v>8</v>
      </c>
      <c r="E12" s="17"/>
      <c r="F12" s="17"/>
    </row>
    <row r="13" spans="1:6">
      <c r="A13" s="3" t="s">
        <v>21</v>
      </c>
      <c r="B13" s="19">
        <v>100000</v>
      </c>
      <c r="C13" s="2"/>
      <c r="D13" s="9">
        <v>9</v>
      </c>
      <c r="E13" s="17"/>
      <c r="F13" s="17"/>
    </row>
    <row r="14" spans="1:6">
      <c r="C14" s="2"/>
      <c r="D14" s="2">
        <v>10</v>
      </c>
      <c r="E14" s="17"/>
      <c r="F14" s="17"/>
    </row>
    <row r="15" spans="1:6">
      <c r="A15" s="2"/>
      <c r="B15" s="2"/>
      <c r="C15" s="2"/>
      <c r="D15" s="9">
        <v>11</v>
      </c>
      <c r="E15" s="17"/>
      <c r="F15" s="17"/>
    </row>
    <row r="16" spans="1:6">
      <c r="A16" s="2"/>
      <c r="B16" s="5"/>
      <c r="C16" s="2"/>
      <c r="D16" s="2">
        <v>12</v>
      </c>
      <c r="E16" s="17"/>
      <c r="F16" s="17"/>
    </row>
    <row r="17" spans="1:6">
      <c r="C17" s="2"/>
      <c r="D17" s="9">
        <v>13</v>
      </c>
      <c r="E17" s="17"/>
      <c r="F17" s="17"/>
    </row>
    <row r="18" spans="1:6">
      <c r="A18" s="2"/>
      <c r="B18" s="7"/>
      <c r="C18" s="2"/>
      <c r="D18" s="2">
        <v>14</v>
      </c>
      <c r="E18" s="17"/>
      <c r="F18" s="17"/>
    </row>
    <row r="19" spans="1:6">
      <c r="D19" s="9">
        <v>15</v>
      </c>
      <c r="E19" s="17"/>
      <c r="F19" s="17"/>
    </row>
    <row r="20" spans="1:6">
      <c r="D20" s="2">
        <v>16</v>
      </c>
      <c r="E20" s="17"/>
      <c r="F20" s="17"/>
    </row>
    <row r="21" spans="1:6">
      <c r="D21" s="9">
        <v>17</v>
      </c>
      <c r="E21" s="17"/>
      <c r="F21" s="17"/>
    </row>
    <row r="22" spans="1:6">
      <c r="D22" s="2">
        <v>18</v>
      </c>
      <c r="E22" s="17"/>
      <c r="F22" s="17"/>
    </row>
    <row r="23" spans="1:6">
      <c r="D23" s="9">
        <v>19</v>
      </c>
      <c r="E23" s="17"/>
      <c r="F23" s="17"/>
    </row>
    <row r="24" spans="1:6">
      <c r="D24" s="2">
        <v>20</v>
      </c>
      <c r="E24" s="17"/>
      <c r="F24" s="17"/>
    </row>
    <row r="25" spans="1:6">
      <c r="D25" s="9">
        <v>21</v>
      </c>
      <c r="E25" s="17"/>
      <c r="F25" s="17"/>
    </row>
    <row r="26" spans="1:6">
      <c r="D26" s="2">
        <v>22</v>
      </c>
      <c r="E26" s="17"/>
      <c r="F26" s="17"/>
    </row>
    <row r="27" spans="1:6">
      <c r="D27" s="9">
        <v>23</v>
      </c>
      <c r="E27" s="17"/>
      <c r="F27" s="17"/>
    </row>
    <row r="28" spans="1:6">
      <c r="D28" s="2">
        <v>24</v>
      </c>
      <c r="E28" s="17"/>
      <c r="F28" s="17"/>
    </row>
    <row r="29" spans="1:6">
      <c r="D29" s="9">
        <v>25</v>
      </c>
      <c r="E29" s="17"/>
      <c r="F29" s="17"/>
    </row>
    <row r="30" spans="1:6">
      <c r="D30" s="2">
        <v>26</v>
      </c>
      <c r="E30" s="17"/>
      <c r="F30" s="17"/>
    </row>
    <row r="31" spans="1:6">
      <c r="D31" s="9">
        <v>27</v>
      </c>
      <c r="E31" s="17"/>
      <c r="F31" s="17"/>
    </row>
    <row r="32" spans="1:6">
      <c r="D32" s="2">
        <v>28</v>
      </c>
      <c r="E32" s="17"/>
      <c r="F32" s="17"/>
    </row>
    <row r="33" spans="4:6">
      <c r="D33" s="9">
        <v>29</v>
      </c>
      <c r="E33" s="17"/>
      <c r="F33" s="17"/>
    </row>
    <row r="34" spans="4:6">
      <c r="D34" s="2">
        <v>30</v>
      </c>
      <c r="E34" s="17"/>
      <c r="F34" s="17"/>
    </row>
    <row r="35" spans="4:6">
      <c r="D35" s="9">
        <v>31</v>
      </c>
      <c r="E35" s="17"/>
      <c r="F35" s="17"/>
    </row>
    <row r="36" spans="4:6">
      <c r="D36" s="2">
        <v>32</v>
      </c>
      <c r="E36" s="17"/>
      <c r="F36" s="17"/>
    </row>
    <row r="37" spans="4:6">
      <c r="D37" s="9">
        <v>33</v>
      </c>
      <c r="E37" s="17"/>
      <c r="F37" s="17"/>
    </row>
    <row r="38" spans="4:6">
      <c r="D38" s="2">
        <v>34</v>
      </c>
      <c r="E38" s="17"/>
      <c r="F38" s="17"/>
    </row>
    <row r="39" spans="4:6">
      <c r="D39" s="9">
        <v>35</v>
      </c>
      <c r="E39" s="17"/>
      <c r="F39" s="17"/>
    </row>
    <row r="40" spans="4:6">
      <c r="D40" s="2">
        <v>36</v>
      </c>
      <c r="E40" s="17"/>
      <c r="F40" s="17"/>
    </row>
    <row r="41" spans="4:6">
      <c r="D41" s="9">
        <v>37</v>
      </c>
      <c r="E41" s="17"/>
      <c r="F41" s="17"/>
    </row>
    <row r="42" spans="4:6">
      <c r="D42" s="2">
        <v>38</v>
      </c>
      <c r="E42" s="17"/>
      <c r="F42" s="17"/>
    </row>
    <row r="43" spans="4:6">
      <c r="D43" s="9">
        <v>39</v>
      </c>
      <c r="E43" s="17"/>
      <c r="F43" s="17"/>
    </row>
    <row r="44" spans="4:6">
      <c r="D44" s="2">
        <v>40</v>
      </c>
      <c r="E44" s="17"/>
      <c r="F44" s="17"/>
    </row>
    <row r="45" spans="4:6">
      <c r="D45" s="9">
        <v>41</v>
      </c>
      <c r="E45" s="17"/>
      <c r="F45" s="17"/>
    </row>
    <row r="46" spans="4:6">
      <c r="D46" s="2">
        <v>42</v>
      </c>
      <c r="E46" s="17"/>
      <c r="F46" s="17"/>
    </row>
    <row r="47" spans="4:6">
      <c r="D47" s="9">
        <v>43</v>
      </c>
      <c r="E47" s="17"/>
      <c r="F47" s="17"/>
    </row>
    <row r="48" spans="4:6">
      <c r="D48" s="2">
        <v>44</v>
      </c>
      <c r="E48" s="17"/>
      <c r="F48" s="17"/>
    </row>
    <row r="49" spans="4:7">
      <c r="D49" s="9">
        <v>45</v>
      </c>
      <c r="E49" s="17"/>
      <c r="F49" s="17"/>
    </row>
    <row r="50" spans="4:7">
      <c r="D50" s="2">
        <v>46</v>
      </c>
      <c r="E50" s="17"/>
      <c r="F50" s="17"/>
    </row>
    <row r="51" spans="4:7">
      <c r="D51" s="9">
        <v>47</v>
      </c>
      <c r="E51" s="17"/>
      <c r="F51" s="17"/>
    </row>
    <row r="52" spans="4:7">
      <c r="D52" s="2">
        <v>48</v>
      </c>
      <c r="E52" s="17"/>
      <c r="F52" s="17"/>
    </row>
    <row r="53" spans="4:7">
      <c r="D53" s="9">
        <v>49</v>
      </c>
      <c r="E53" s="17"/>
      <c r="F53" s="17"/>
    </row>
    <row r="54" spans="4:7">
      <c r="D54" s="2">
        <v>50</v>
      </c>
      <c r="E54" s="17"/>
      <c r="F54" s="17"/>
    </row>
    <row r="55" spans="4:7">
      <c r="D55" s="2" t="s">
        <v>9</v>
      </c>
      <c r="E55" s="16" t="e">
        <f>AVERAGE(E5:E54)</f>
        <v>#DIV/0!</v>
      </c>
      <c r="F55" s="16" t="e">
        <f>AVERAGE(F5:F54)</f>
        <v>#DIV/0!</v>
      </c>
    </row>
    <row r="56" spans="4:7">
      <c r="D56" s="2" t="s">
        <v>11</v>
      </c>
      <c r="E56" s="15" t="e">
        <f>STDEV(E5:E54)</f>
        <v>#DIV/0!</v>
      </c>
      <c r="F56" s="15" t="e">
        <f>STDEV(F5:F54)</f>
        <v>#DIV/0!</v>
      </c>
      <c r="G56" s="9" t="e">
        <f>E56/F56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1"/>
  <dimension ref="A1:Q30"/>
  <sheetViews>
    <sheetView workbookViewId="0">
      <selection activeCell="A10" sqref="A10:B10"/>
    </sheetView>
  </sheetViews>
  <sheetFormatPr defaultRowHeight="14.25"/>
  <cols>
    <col min="1" max="1" width="13.875" customWidth="1"/>
    <col min="6" max="6" width="3.75" customWidth="1"/>
    <col min="7" max="7" width="5.75" customWidth="1"/>
    <col min="8" max="12" width="5.75" bestFit="1" customWidth="1"/>
    <col min="13" max="17" width="4.875" bestFit="1" customWidth="1"/>
  </cols>
  <sheetData>
    <row r="1" spans="1:17">
      <c r="A1" s="10" t="s">
        <v>34</v>
      </c>
      <c r="B1" s="11"/>
      <c r="C1" s="11"/>
      <c r="D1" s="11"/>
      <c r="E1" s="12"/>
    </row>
    <row r="2" spans="1:17">
      <c r="A2" s="2"/>
      <c r="B2" s="2"/>
      <c r="C2" s="2"/>
      <c r="D2" s="2"/>
      <c r="E2" s="2"/>
    </row>
    <row r="3" spans="1:17">
      <c r="A3" s="20" t="s">
        <v>4</v>
      </c>
      <c r="B3" s="4">
        <v>95</v>
      </c>
      <c r="C3" s="2"/>
      <c r="G3" s="30" t="s">
        <v>22</v>
      </c>
      <c r="H3" s="30"/>
      <c r="I3" s="30"/>
      <c r="J3" s="30"/>
      <c r="K3" s="30"/>
      <c r="L3" s="30"/>
      <c r="M3" s="30"/>
      <c r="N3" s="30"/>
      <c r="O3" s="30"/>
      <c r="P3" s="30"/>
      <c r="Q3" s="30"/>
    </row>
    <row r="4" spans="1:17">
      <c r="A4" s="2" t="s">
        <v>3</v>
      </c>
      <c r="B4" s="4">
        <v>100</v>
      </c>
      <c r="C4" s="2"/>
      <c r="G4" s="29">
        <v>95</v>
      </c>
      <c r="H4" s="29">
        <v>96</v>
      </c>
      <c r="I4" s="29">
        <v>97</v>
      </c>
      <c r="J4" s="29">
        <v>98</v>
      </c>
      <c r="K4" s="29">
        <v>99</v>
      </c>
      <c r="L4" s="29">
        <v>100</v>
      </c>
      <c r="M4" s="29">
        <v>101</v>
      </c>
      <c r="N4" s="29">
        <v>102</v>
      </c>
      <c r="O4" s="29">
        <v>103</v>
      </c>
      <c r="P4" s="29">
        <v>104</v>
      </c>
      <c r="Q4" s="29">
        <v>105</v>
      </c>
    </row>
    <row r="5" spans="1:17">
      <c r="A5" s="3" t="s">
        <v>5</v>
      </c>
      <c r="B5" s="6">
        <v>0.06</v>
      </c>
      <c r="C5" s="2"/>
      <c r="E5" s="27"/>
      <c r="F5" s="27">
        <v>95</v>
      </c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</row>
    <row r="6" spans="1:17">
      <c r="A6" s="3" t="s">
        <v>0</v>
      </c>
      <c r="B6" s="6">
        <v>0</v>
      </c>
      <c r="C6" s="2"/>
      <c r="E6" s="27"/>
      <c r="F6" s="27">
        <v>96</v>
      </c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</row>
    <row r="7" spans="1:17">
      <c r="A7" s="3" t="s">
        <v>1</v>
      </c>
      <c r="B7" s="8">
        <v>0.5</v>
      </c>
      <c r="C7" s="2"/>
      <c r="E7" s="27"/>
      <c r="F7" s="27">
        <v>97</v>
      </c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</row>
    <row r="8" spans="1:17">
      <c r="A8" s="3" t="s">
        <v>2</v>
      </c>
      <c r="B8" s="6">
        <v>0.2</v>
      </c>
      <c r="C8" s="2"/>
      <c r="E8" s="27"/>
      <c r="F8" s="27">
        <v>98</v>
      </c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</row>
    <row r="9" spans="1:17">
      <c r="E9" s="27"/>
      <c r="F9" s="27">
        <v>99</v>
      </c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</row>
    <row r="10" spans="1:17">
      <c r="A10" s="2"/>
      <c r="E10" s="27" t="s">
        <v>23</v>
      </c>
      <c r="F10" s="27">
        <v>100</v>
      </c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</row>
    <row r="11" spans="1:17">
      <c r="E11" s="27"/>
      <c r="F11" s="27">
        <v>101</v>
      </c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</row>
    <row r="12" spans="1:17">
      <c r="A12" t="s">
        <v>12</v>
      </c>
      <c r="B12">
        <f>MAX(G5:Q15)</f>
        <v>0</v>
      </c>
      <c r="E12" s="27"/>
      <c r="F12" s="27">
        <v>102</v>
      </c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</row>
    <row r="13" spans="1:17">
      <c r="A13" t="s">
        <v>13</v>
      </c>
      <c r="B13">
        <f>MIN(G5:Q15)</f>
        <v>0</v>
      </c>
      <c r="E13" s="27"/>
      <c r="F13" s="27">
        <v>103</v>
      </c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</row>
    <row r="14" spans="1:17">
      <c r="B14" s="2"/>
      <c r="E14" s="27"/>
      <c r="F14" s="27">
        <v>104</v>
      </c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</row>
    <row r="15" spans="1:17">
      <c r="E15" s="27"/>
      <c r="F15" s="27">
        <v>105</v>
      </c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</row>
    <row r="18" spans="5:17">
      <c r="G18" s="30" t="s">
        <v>24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</row>
    <row r="19" spans="5:17">
      <c r="G19" s="29">
        <v>0.01</v>
      </c>
      <c r="H19" s="29">
        <v>0.05</v>
      </c>
      <c r="I19" s="29">
        <v>0.1</v>
      </c>
      <c r="J19" s="29">
        <v>0.2</v>
      </c>
      <c r="K19" s="29">
        <v>0.3</v>
      </c>
      <c r="L19" s="29">
        <v>0.4</v>
      </c>
      <c r="M19" s="29">
        <v>0.5</v>
      </c>
      <c r="N19" s="29">
        <v>0.6</v>
      </c>
      <c r="O19" s="29">
        <v>0.7</v>
      </c>
      <c r="P19" s="29">
        <v>0.8</v>
      </c>
      <c r="Q19" s="29">
        <v>0.9</v>
      </c>
    </row>
    <row r="20" spans="5:17">
      <c r="E20" s="27"/>
      <c r="F20" s="27">
        <v>90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5:17">
      <c r="E21" s="27"/>
      <c r="F21" s="27">
        <v>92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5:17">
      <c r="E22" s="27"/>
      <c r="F22" s="27">
        <v>94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5:17">
      <c r="E23" s="27"/>
      <c r="F23" s="27">
        <v>96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5:17">
      <c r="E24" s="27"/>
      <c r="F24" s="27">
        <v>98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5:17">
      <c r="E25" s="27" t="s">
        <v>23</v>
      </c>
      <c r="F25" s="27">
        <v>100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5:17">
      <c r="E26" s="27"/>
      <c r="F26" s="27">
        <v>102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5:17">
      <c r="E27" s="27"/>
      <c r="F27" s="27">
        <v>104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5:17">
      <c r="E28" s="27"/>
      <c r="F28" s="27">
        <v>106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5:17">
      <c r="E29" s="27"/>
      <c r="F29" s="27">
        <v>108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5:17">
      <c r="E30" s="27"/>
      <c r="F30" s="27">
        <v>110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Q30"/>
  <sheetViews>
    <sheetView workbookViewId="0">
      <selection activeCell="G20" sqref="G20:Q30"/>
    </sheetView>
  </sheetViews>
  <sheetFormatPr defaultRowHeight="14.25"/>
  <cols>
    <col min="1" max="1" width="13.875" customWidth="1"/>
    <col min="6" max="6" width="5.375" customWidth="1"/>
    <col min="7" max="13" width="5.75" bestFit="1" customWidth="1"/>
    <col min="14" max="17" width="4.875" bestFit="1" customWidth="1"/>
  </cols>
  <sheetData>
    <row r="1" spans="1:17">
      <c r="A1" s="10" t="s">
        <v>35</v>
      </c>
      <c r="B1" s="11"/>
      <c r="C1" s="11"/>
      <c r="D1" s="11"/>
      <c r="E1" s="12"/>
    </row>
    <row r="2" spans="1:17">
      <c r="A2" s="2"/>
      <c r="B2" s="2"/>
      <c r="C2" s="2"/>
      <c r="D2" s="2"/>
      <c r="E2" s="2"/>
    </row>
    <row r="3" spans="1:17">
      <c r="A3" s="20"/>
      <c r="B3" s="4"/>
      <c r="C3" s="2"/>
      <c r="G3" s="30" t="s">
        <v>22</v>
      </c>
      <c r="H3" s="30"/>
      <c r="I3" s="30"/>
      <c r="J3" s="30"/>
      <c r="K3" s="30"/>
      <c r="L3" s="30"/>
      <c r="M3" s="30"/>
      <c r="N3" s="30"/>
      <c r="O3" s="30"/>
      <c r="P3" s="30"/>
      <c r="Q3" s="30"/>
    </row>
    <row r="4" spans="1:17">
      <c r="A4" s="3" t="s">
        <v>16</v>
      </c>
      <c r="B4" s="4">
        <v>95</v>
      </c>
      <c r="C4" s="2"/>
      <c r="G4" s="29">
        <v>95</v>
      </c>
      <c r="H4" s="29">
        <v>96</v>
      </c>
      <c r="I4" s="29">
        <v>97</v>
      </c>
      <c r="J4" s="29">
        <v>98</v>
      </c>
      <c r="K4" s="29">
        <v>99</v>
      </c>
      <c r="L4" s="29">
        <v>100</v>
      </c>
      <c r="M4" s="29">
        <v>101</v>
      </c>
      <c r="N4" s="29">
        <v>102</v>
      </c>
      <c r="O4" s="29">
        <v>103</v>
      </c>
      <c r="P4" s="29">
        <v>104</v>
      </c>
      <c r="Q4" s="29">
        <v>105</v>
      </c>
    </row>
    <row r="5" spans="1:17">
      <c r="A5" s="2" t="s">
        <v>15</v>
      </c>
      <c r="B5" s="4">
        <v>100</v>
      </c>
      <c r="C5" s="2"/>
      <c r="E5" s="27"/>
      <c r="F5" s="27">
        <v>95</v>
      </c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</row>
    <row r="6" spans="1:17">
      <c r="A6" s="3" t="s">
        <v>14</v>
      </c>
      <c r="B6" s="6">
        <v>0.06</v>
      </c>
      <c r="C6" s="2"/>
      <c r="E6" s="27"/>
      <c r="F6" s="27">
        <v>96</v>
      </c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</row>
    <row r="7" spans="1:17">
      <c r="A7" s="3"/>
      <c r="B7" s="6"/>
      <c r="C7" s="2"/>
      <c r="E7" s="27"/>
      <c r="F7" s="27">
        <v>97</v>
      </c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</row>
    <row r="8" spans="1:17">
      <c r="A8" s="3" t="s">
        <v>18</v>
      </c>
      <c r="B8" s="8">
        <v>0.5</v>
      </c>
      <c r="C8" s="2"/>
      <c r="E8" s="27"/>
      <c r="F8" s="27">
        <v>98</v>
      </c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</row>
    <row r="9" spans="1:17">
      <c r="A9" s="20"/>
      <c r="B9" s="21"/>
      <c r="E9" s="27"/>
      <c r="F9" s="27">
        <v>99</v>
      </c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</row>
    <row r="10" spans="1:17">
      <c r="A10" s="3" t="s">
        <v>19</v>
      </c>
      <c r="B10" s="6">
        <v>0.2</v>
      </c>
      <c r="E10" s="27" t="s">
        <v>23</v>
      </c>
      <c r="F10" s="27">
        <v>100</v>
      </c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</row>
    <row r="11" spans="1:17">
      <c r="A11" s="9"/>
      <c r="B11" s="9"/>
      <c r="E11" s="27"/>
      <c r="F11" s="27">
        <v>101</v>
      </c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</row>
    <row r="12" spans="1:17">
      <c r="E12" s="27"/>
      <c r="F12" s="27">
        <v>102</v>
      </c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</row>
    <row r="13" spans="1:17">
      <c r="A13" s="3" t="s">
        <v>21</v>
      </c>
      <c r="B13" s="19">
        <v>10000</v>
      </c>
      <c r="E13" s="27"/>
      <c r="F13" s="27">
        <v>103</v>
      </c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</row>
    <row r="14" spans="1:17">
      <c r="A14" s="9"/>
      <c r="B14" s="9"/>
      <c r="E14" s="27"/>
      <c r="F14" s="27">
        <v>104</v>
      </c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</row>
    <row r="15" spans="1:17">
      <c r="A15" s="2"/>
      <c r="B15" s="2"/>
      <c r="E15" s="27"/>
      <c r="F15" s="27">
        <v>105</v>
      </c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</row>
    <row r="16" spans="1:17">
      <c r="A16" s="2"/>
      <c r="B16" s="5"/>
    </row>
    <row r="18" spans="5:17">
      <c r="G18" s="30" t="s">
        <v>24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</row>
    <row r="19" spans="5:17">
      <c r="G19" s="29">
        <v>0.01</v>
      </c>
      <c r="H19" s="29">
        <v>0.05</v>
      </c>
      <c r="I19" s="29">
        <v>0.1</v>
      </c>
      <c r="J19" s="29">
        <v>0.2</v>
      </c>
      <c r="K19" s="29">
        <v>0.3</v>
      </c>
      <c r="L19" s="29">
        <v>0.4</v>
      </c>
      <c r="M19" s="29">
        <v>0.5</v>
      </c>
      <c r="N19" s="29">
        <v>0.6</v>
      </c>
      <c r="O19" s="29">
        <v>0.7</v>
      </c>
      <c r="P19" s="29">
        <v>0.8</v>
      </c>
      <c r="Q19" s="29">
        <v>0.9</v>
      </c>
    </row>
    <row r="20" spans="5:17">
      <c r="E20" s="27"/>
      <c r="F20" s="27">
        <v>90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5:17">
      <c r="E21" s="27"/>
      <c r="F21" s="27">
        <v>92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5:17">
      <c r="E22" s="27"/>
      <c r="F22" s="27">
        <v>94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5:17">
      <c r="E23" s="27"/>
      <c r="F23" s="27">
        <v>96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5:17">
      <c r="E24" s="27"/>
      <c r="F24" s="27">
        <v>98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5:17">
      <c r="E25" s="27" t="s">
        <v>23</v>
      </c>
      <c r="F25" s="27">
        <v>100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5:17">
      <c r="E26" s="27"/>
      <c r="F26" s="27">
        <v>102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5:17">
      <c r="E27" s="27"/>
      <c r="F27" s="27">
        <v>104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5:17">
      <c r="E28" s="27"/>
      <c r="F28" s="27">
        <v>106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5:17">
      <c r="E29" s="27"/>
      <c r="F29" s="27">
        <v>108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5:17">
      <c r="E30" s="27"/>
      <c r="F30" s="27">
        <v>110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AV vs. no AV</vt:lpstr>
      <vt:lpstr>Convergence</vt:lpstr>
      <vt:lpstr>European</vt:lpstr>
      <vt:lpstr>plots BS</vt:lpstr>
      <vt:lpstr>plots MC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Sakowski</dc:creator>
  <cp:lastModifiedBy>Paweł Sakowski</cp:lastModifiedBy>
  <dcterms:created xsi:type="dcterms:W3CDTF">2012-03-21T13:34:25Z</dcterms:created>
  <dcterms:modified xsi:type="dcterms:W3CDTF">2016-05-12T09:12:18Z</dcterms:modified>
</cp:coreProperties>
</file>